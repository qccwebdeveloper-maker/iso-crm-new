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drawings/drawing2.xml" ContentType="application/vnd.openxmlformats-officedocument.drawing+xml"/>
  <Override PartName="/xl/ctrlProps/ctrlProp21.xml" ContentType="application/vnd.ms-excel.controlproperties+xml"/>
  <Override PartName="/xl/ctrlProps/ctrlProp22.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23.xml" ContentType="application/vnd.ms-excel.controlproperties+xml"/>
  <Override PartName="/xl/ctrlProps/ctrlProp24.xml" ContentType="application/vnd.ms-excel.controlpropertie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1\Desktop\Surveillance Reports\"/>
    </mc:Choice>
  </mc:AlternateContent>
  <xr:revisionPtr revIDLastSave="0" documentId="13_ncr:1_{C1279CC8-6E0D-4AAF-A5A7-E49424588547}" xr6:coauthVersionLast="36" xr6:coauthVersionMax="47" xr10:uidLastSave="{00000000-0000-0000-0000-000000000000}"/>
  <bookViews>
    <workbookView xWindow="0" yWindow="0" windowWidth="19200" windowHeight="8250" firstSheet="3" activeTab="6" xr2:uid="{00000000-000D-0000-FFFF-FFFF00000000}"/>
  </bookViews>
  <sheets>
    <sheet name="F02 Application Form" sheetId="12" r:id="rId1"/>
    <sheet name="F11&amp;F12-Sur1-Plan&amp;Schedule" sheetId="11" r:id="rId2"/>
    <sheet name="F07Opening and Closing Meeting " sheetId="2" r:id="rId3"/>
    <sheet name="Surveillance I - Audit Report" sheetId="5" r:id="rId4"/>
    <sheet name="AUD-F-22-Report Review " sheetId="13" r:id="rId5"/>
    <sheet name="Corrective Action Report" sheetId="6" state="hidden" r:id="rId6"/>
    <sheet name="Letter of Continuation" sheetId="7" r:id="rId7"/>
  </sheets>
  <externalReferences>
    <externalReference r:id="rId8"/>
    <externalReference r:id="rId9"/>
    <externalReference r:id="rId10"/>
    <externalReference r:id="rId11"/>
    <externalReference r:id="rId12"/>
  </externalReferences>
  <definedNames>
    <definedName name="AA">'F02 Application Form'!$A$28</definedName>
    <definedName name="AD">'F02 Application Form'!$B$4</definedName>
    <definedName name="AN">'F02 Application Form'!$B$27</definedName>
    <definedName name="APPD">[1]DATA!$D$17</definedName>
    <definedName name="AUD">'F11&amp;F12-Sur1-Plan&amp;Schedule'!$A$16</definedName>
    <definedName name="AUDDEC4">[2]DATA!$D$30</definedName>
    <definedName name="AUDITLANG">'[1]F03 App Rev &amp; F03-01 Aud Pln'!$B$10</definedName>
    <definedName name="AUDITOR1">[1]DATA!$D$20</definedName>
    <definedName name="AUDITOR1CODE">'[3]F03 App Rev &amp; F03-01 Aud Pln'!$E$20</definedName>
    <definedName name="AUDITOR1CONTACT">'[3]F03 App Rev &amp; F03-01 Aud Pln'!$C$20</definedName>
    <definedName name="AUDITOR1STD">'[3]F03 App Rev &amp; F03-01 Aud Pln'!$D$20</definedName>
    <definedName name="AUDITOR1STG2">'[3]F03 App Rev &amp; F03-01 Aud Pln'!$G$20</definedName>
    <definedName name="AUDITOR2">[1]DATA!$D$21</definedName>
    <definedName name="AUDITOR3">[1]DATA!$D$22</definedName>
    <definedName name="AUDITOR4">[1]DATA!$D$23</definedName>
    <definedName name="AUDITTYPE2">'[1]F03 App Rev &amp; F03-01 Aud Pln'!$E$7</definedName>
    <definedName name="AUDN">'F02 Application Form'!$B$28</definedName>
    <definedName name="CARDATE1">[1]DATA!$C$81</definedName>
    <definedName name="CONTACTNUM">[1]DATA!$I$7</definedName>
    <definedName name="CONTACTPERS">[1]DATA!$D$7</definedName>
    <definedName name="CORRECTION1">[1]DATA!$C$79</definedName>
    <definedName name="CORRECTIVEACTION1">[1]DATA!$C$80</definedName>
    <definedName name="CP">'F02 Application Form'!$B$6</definedName>
    <definedName name="DAT">'F02 Application Form'!$B$25</definedName>
    <definedName name="DD">'F02 Application Form'!$I$6</definedName>
    <definedName name="DESIGNATION">[1]DATA!$D$8</definedName>
    <definedName name="DET">'F02 Application Form'!$F$25</definedName>
    <definedName name="ELEVENMONTH">[1]DATA!$D$46</definedName>
    <definedName name="EM">'F02 Application Form'!$I$5</definedName>
    <definedName name="EMAILID">[1]DATA!$I$8</definedName>
    <definedName name="EMPLOYEENUM">[1]DATA!$D$11</definedName>
    <definedName name="GZA">[1]DATA!$D$10</definedName>
    <definedName name="IAD">[1]DATA!$D$16</definedName>
    <definedName name="IAF">'F02 Application Form'!$B$26</definedName>
    <definedName name="IAFCODE">[1]DATA!$D$18</definedName>
    <definedName name="ICCODE">'[1]F03 App Rev &amp; F03-01 Aud Pln'!$B$11</definedName>
    <definedName name="ID">[1]DATA!$D$1</definedName>
    <definedName name="IF">'F11&amp;F12-Sur1-Plan&amp;Schedule'!$D$9</definedName>
    <definedName name="LA">'F02 Application Form'!$A$27</definedName>
    <definedName name="LAN">'F02 Application Form'!#REF!</definedName>
    <definedName name="LD">'F11&amp;F12-Sur1-Plan&amp;Schedule'!$C$16</definedName>
    <definedName name="LDD">'F11&amp;F12-Sur1-Plan&amp;Schedule'!$C$16</definedName>
    <definedName name="LEGAL">[1]DATA!$D$12</definedName>
    <definedName name="MD">'F02 Application Form'!$B$23</definedName>
    <definedName name="MED">[1]DATA!$D$14</definedName>
    <definedName name="MND">[1]DATA!$D$15</definedName>
    <definedName name="MOA">[1]DATA!$D$9</definedName>
    <definedName name="MRMD">[1]DATA!$H$16</definedName>
    <definedName name="NM">'F02 Application Form'!$B$3</definedName>
    <definedName name="NUM">'F02 Application Form'!$B$5</definedName>
    <definedName name="OA">'F02 Application Form'!#REF!</definedName>
    <definedName name="ORGADD">[1]DATA!$D$5</definedName>
    <definedName name="ORGN">[1]DATA!$D$2</definedName>
    <definedName name="OUTSOURCING">[1]DATA!$D$13</definedName>
    <definedName name="PD">'F02 Application Form'!$B$24</definedName>
    <definedName name="PROCESSDEPT1">[1]DATA!$D$72</definedName>
    <definedName name="RDHOD">[4]DATA!$C$90</definedName>
    <definedName name="RDREV">[4]DATA!$C$89</definedName>
    <definedName name="RN">'F02 Application Form'!$B$30</definedName>
    <definedName name="ROLE1">[1]DATA!$D$24</definedName>
    <definedName name="ROLE2">[1]DATA!$D$25</definedName>
    <definedName name="ROLE3">[1]DATA!$D$26</definedName>
    <definedName name="ROLE4">[1]DATA!$D$27</definedName>
    <definedName name="ROOTCAUSE1">[1]DATA!$C$78</definedName>
    <definedName name="S">[2]DATA!$D$1</definedName>
    <definedName name="SC">'F02 Application Form'!$B$7</definedName>
    <definedName name="SCOPE">[1]DATA!$D$6</definedName>
    <definedName name="SS">'F11&amp;F12-Sur1-Plan&amp;Schedule'!$G$16</definedName>
    <definedName name="ST1AUDDATE1">[4]DATA!$D$47</definedName>
    <definedName name="ST1AUDDATE2">[4]DATA!$H$47</definedName>
    <definedName name="ST1AUDPLAN">[5]DATA!$D$42</definedName>
    <definedName name="ST1OBSQTY">[4]DATA!$D$52</definedName>
    <definedName name="ST2AUDDATE1">[1]DATA!$D$45</definedName>
    <definedName name="ST2AUDDATE2">[1]DATA!$H$45</definedName>
    <definedName name="ST2AUDPLAN">[1]DATA!$D$44</definedName>
    <definedName name="ST2CLAUSE1">[1]DATA!$D$63</definedName>
    <definedName name="ST2CLAUSE2">[1]DATA!$D$64</definedName>
    <definedName name="ST2CLAUSE3">[1]DATA!$D$65</definedName>
    <definedName name="ST2CLAUSE4">[1]DATA!$D$66</definedName>
    <definedName name="ST2MANDAY1">[1]DATA!$D$38</definedName>
    <definedName name="ST2MANDAY2">[1]DATA!$D$39</definedName>
    <definedName name="ST2MANDAY3">[1]DATA!$D$40</definedName>
    <definedName name="ST2MANDAY4">[1]DATA!$D$41</definedName>
    <definedName name="ST2MINNC1">[1]DATA!$D$68</definedName>
    <definedName name="ST2MINNCCL1">[1]DATA!$D$70</definedName>
    <definedName name="ST2MINNCQTY">[1]DATA!$D$67</definedName>
    <definedName name="ST2OBS1">[1]DATA!$D$56</definedName>
    <definedName name="ST2OBS2">[1]DATA!$D$57</definedName>
    <definedName name="ST2OBS3">[1]DATA!$D$58</definedName>
    <definedName name="ST2OBS4">[1]DATA!$D$59</definedName>
    <definedName name="ST2OBSQTY">[4]DATA!$D$59</definedName>
    <definedName name="STANDARD">[1]DATA!$D$3</definedName>
    <definedName name="STANDARD3">[1]DATA!$D$60</definedName>
    <definedName name="STANDARD4">[1]DATA!$D$61</definedName>
    <definedName name="TYPEAUDIT">[4]DATA!$D$4</definedName>
    <definedName name="TYPENC1">[1]DATA!$C$75</definedName>
  </definedNames>
  <calcPr calcId="191029"/>
</workbook>
</file>

<file path=xl/calcChain.xml><?xml version="1.0" encoding="utf-8"?>
<calcChain xmlns="http://schemas.openxmlformats.org/spreadsheetml/2006/main">
  <c r="B9" i="2" l="1"/>
  <c r="E17" i="6" l="1"/>
  <c r="B2" i="6"/>
  <c r="B92" i="13"/>
  <c r="B84" i="13"/>
  <c r="B74" i="13"/>
  <c r="G51" i="13"/>
  <c r="G46" i="13"/>
  <c r="H31" i="13"/>
  <c r="H30" i="13"/>
  <c r="F7" i="13"/>
  <c r="F6" i="13"/>
  <c r="F5" i="13"/>
  <c r="G78" i="5"/>
  <c r="B41" i="5"/>
  <c r="C28" i="5"/>
  <c r="M16" i="5"/>
  <c r="J16" i="5"/>
  <c r="G16" i="5"/>
  <c r="C16" i="5"/>
  <c r="A16" i="5"/>
  <c r="G12" i="5"/>
  <c r="D12" i="5"/>
  <c r="D9" i="5"/>
  <c r="D8" i="5"/>
  <c r="L7" i="5"/>
  <c r="L6" i="5"/>
  <c r="D6" i="5"/>
  <c r="D5" i="5"/>
  <c r="D4" i="5"/>
  <c r="F9" i="2"/>
  <c r="F5" i="2"/>
  <c r="L4" i="2"/>
  <c r="F4" i="2"/>
  <c r="F3" i="2"/>
  <c r="F2" i="2"/>
  <c r="M16" i="11"/>
  <c r="J16" i="11"/>
  <c r="C16" i="11"/>
  <c r="A16" i="11"/>
  <c r="D9" i="11"/>
  <c r="D10" i="5" s="1"/>
  <c r="H8" i="11"/>
  <c r="D8" i="11"/>
  <c r="D7" i="11"/>
  <c r="D6" i="11"/>
  <c r="L4" i="11"/>
  <c r="D4" i="11"/>
  <c r="D3" i="11"/>
  <c r="D2" i="11"/>
  <c r="M22" i="12"/>
  <c r="B23" i="12" s="1" a="1"/>
  <c r="B23"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M12" authorId="0" shapeId="0" xr:uid="{00000000-0006-0000-0100-000001000000}">
      <text>
        <r>
          <rPr>
            <sz val="9"/>
            <rFont val="Tahoma"/>
            <family val="2"/>
          </rPr>
          <t>Meeting link for Surveillance I Audit</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<sst xmlns="http://schemas.openxmlformats.org/spreadsheetml/2006/main" count="488" uniqueCount="329">
  <si>
    <t>Application Form for Survillance / Re-certification</t>
  </si>
  <si>
    <t>ID No.</t>
  </si>
  <si>
    <t>Name of Organization</t>
  </si>
  <si>
    <t xml:space="preserve">Address </t>
  </si>
  <si>
    <t>Contact Number</t>
  </si>
  <si>
    <t>Email Id</t>
  </si>
  <si>
    <t>Contact Person</t>
  </si>
  <si>
    <t>Designation</t>
  </si>
  <si>
    <t>Scope of Certification</t>
  </si>
  <si>
    <t>Standard(s)</t>
  </si>
  <si>
    <t>ISO 9001:2015</t>
  </si>
  <si>
    <t>ISO 14001:2015</t>
  </si>
  <si>
    <t>ISO 45001:2018</t>
  </si>
  <si>
    <t>ISO 22000:2018</t>
  </si>
  <si>
    <t>ISO 27001:2022</t>
  </si>
  <si>
    <t>Audit Type:</t>
  </si>
  <si>
    <t xml:space="preserve">    </t>
  </si>
  <si>
    <t>Preferred Language:</t>
  </si>
  <si>
    <t>English / Hindi</t>
  </si>
  <si>
    <t>Change in Organization name?</t>
  </si>
  <si>
    <t xml:space="preserve"> (If yes, specify)</t>
  </si>
  <si>
    <t>Change in Scope?</t>
  </si>
  <si>
    <t>Change in Address / Locations?</t>
  </si>
  <si>
    <t>Change in Key Personnel?</t>
  </si>
  <si>
    <t>HIRED TWO NEW PERSONNEL</t>
  </si>
  <si>
    <t>Change in Products/Services?</t>
  </si>
  <si>
    <t>Is organization has any Major Incidents / Legal Issues?</t>
  </si>
  <si>
    <t>List of New Employees Hired</t>
  </si>
  <si>
    <t>Additional working Shifts</t>
  </si>
  <si>
    <t>NO</t>
  </si>
  <si>
    <t>New Sites to be Audited</t>
  </si>
  <si>
    <t>N/A</t>
  </si>
  <si>
    <t xml:space="preserve">QCC official Use only: Application Review  </t>
  </si>
  <si>
    <t>Initial Audit man-days (St. 1 &amp; St. 2)</t>
  </si>
  <si>
    <t>ST-1</t>
  </si>
  <si>
    <t>ST-2</t>
  </si>
  <si>
    <t>Survillance Audit Man-day?</t>
  </si>
  <si>
    <t>Surveillance I Audit Plan date:</t>
  </si>
  <si>
    <t>Surveillance I Audit Date(s):</t>
  </si>
  <si>
    <t>TO</t>
  </si>
  <si>
    <t>IAF Code</t>
  </si>
  <si>
    <t>Lead Auditor</t>
  </si>
  <si>
    <t>Auditor</t>
  </si>
  <si>
    <t>Application review Date:</t>
  </si>
  <si>
    <t>Application reviewed By:</t>
  </si>
  <si>
    <t>Quality Control Certification       F02-A Application Form for Survillance / Re-certification        Rev.: 3</t>
  </si>
  <si>
    <t>Audit Plan for Surveillance I</t>
  </si>
  <si>
    <t>Index</t>
  </si>
  <si>
    <t>Organization Name</t>
  </si>
  <si>
    <t>Contact Details</t>
  </si>
  <si>
    <t>Type of the audit</t>
  </si>
  <si>
    <t>Surveillance I</t>
  </si>
  <si>
    <t>Audit Standard(s)</t>
  </si>
  <si>
    <t>Audit Plan Date</t>
  </si>
  <si>
    <t>Audit Date</t>
  </si>
  <si>
    <t>1.8</t>
  </si>
  <si>
    <t xml:space="preserve">Applicable IAF / EA Code </t>
  </si>
  <si>
    <t>1.9</t>
  </si>
  <si>
    <t>Audit Objectives</t>
  </si>
  <si>
    <r>
      <rPr>
        <b/>
        <sz val="11"/>
        <color theme="1"/>
        <rFont val="Calibri"/>
        <family val="2"/>
        <scheme val="minor"/>
      </rPr>
      <t xml:space="preserve">Audit Objectives
</t>
    </r>
    <r>
      <rPr>
        <sz val="11"/>
        <color theme="1"/>
        <rFont val="Calibri"/>
        <family val="2"/>
        <scheme val="minor"/>
      </rPr>
      <t xml:space="preserve">A surveillance audit’s objective is to check compliance, effectiveness, and continual improvement of the management system, ensuring the organization sustains its ISO certification.
Judging the Management System by checking system conformity and performance status regarding objective evidence as per </t>
    </r>
    <r>
      <rPr>
        <b/>
        <sz val="11"/>
        <color theme="1"/>
        <rFont val="Calibri"/>
        <family val="2"/>
        <scheme val="minor"/>
      </rPr>
      <t xml:space="preserve">ISO 9001:2015, </t>
    </r>
    <r>
      <rPr>
        <sz val="11"/>
        <color theme="1"/>
        <rFont val="Calibri"/>
        <family val="2"/>
        <scheme val="minor"/>
      </rPr>
      <t xml:space="preserve">Standard
a. To assess conformity of the Client’s Management system with the audit criteria
b. To assess capacity of the client’s criteria to meet its </t>
    </r>
    <r>
      <rPr>
        <b/>
        <sz val="11"/>
        <color theme="1"/>
        <rFont val="Calibri"/>
        <family val="2"/>
        <scheme val="minor"/>
      </rPr>
      <t>QMS (Quality Management System)</t>
    </r>
    <r>
      <rPr>
        <sz val="11"/>
        <color theme="1"/>
        <rFont val="Calibri"/>
        <family val="2"/>
        <scheme val="minor"/>
      </rPr>
      <t xml:space="preserve"> Objectives
c. To identify areas of improvement in the Clients premises
d. To make appropriate recommendation to the CB regarding client’s certification.</t>
    </r>
  </si>
  <si>
    <t>Language of audit:</t>
  </si>
  <si>
    <t>Mode of Audit</t>
  </si>
  <si>
    <t>Audit Team Details</t>
  </si>
  <si>
    <t>Name</t>
  </si>
  <si>
    <t>Role</t>
  </si>
  <si>
    <t>EA Code</t>
  </si>
  <si>
    <t>Audit Mandays</t>
  </si>
  <si>
    <r>
      <rPr>
        <b/>
        <sz val="11"/>
        <color theme="1"/>
        <rFont val="Calibri"/>
        <family val="2"/>
        <scheme val="minor"/>
      </rPr>
      <t xml:space="preserve">Note: </t>
    </r>
    <r>
      <rPr>
        <sz val="11"/>
        <color theme="1"/>
        <rFont val="Calibri"/>
        <family val="2"/>
        <scheme val="minor"/>
      </rPr>
      <t xml:space="preserve">
1. In case, if you have any objection regarding this plan, must inform us with 48 hr. otherwise this plan considered as accepted.
2. negative results of stage 1 may lead to postponement of cancelation of Stage 2 Audit.
Attachment  
□ Audit / visiting schedule</t>
    </r>
  </si>
  <si>
    <r>
      <rPr>
        <b/>
        <sz val="11"/>
        <color theme="1"/>
        <rFont val="Calibri"/>
        <family val="2"/>
        <scheme val="minor"/>
      </rPr>
      <t>Lead Auditor / Team Leader</t>
    </r>
    <r>
      <rPr>
        <sz val="11"/>
        <color theme="1"/>
        <rFont val="Calibri"/>
        <family val="2"/>
        <scheme val="minor"/>
      </rPr>
      <t xml:space="preserve">
Responsibility
1. To supervise and Lead audit team. 
2. To conduct opening &amp; closing meeting.
3. Ensure that audit report is submitted on time.
4. Resolve / communicate issues related to audit process or matters identified during the audit.
5. Guide the audit team during the audit.
6. Audit planning to be sent to clients on time.</t>
    </r>
  </si>
  <si>
    <r>
      <rPr>
        <b/>
        <sz val="11"/>
        <color theme="1"/>
        <rFont val="Calibri"/>
        <family val="2"/>
        <scheme val="minor"/>
      </rPr>
      <t xml:space="preserve">Auditor: </t>
    </r>
    <r>
      <rPr>
        <sz val="11"/>
        <color theme="1"/>
        <rFont val="Calibri"/>
        <family val="2"/>
        <scheme val="minor"/>
      </rPr>
      <t xml:space="preserve">
Responsibility
1. Carrying out audits under the guidance of team leader 
2. Preparation and submission of audit reports on time to Lead auditor.
3. Ensuring the code of conduct of QCC
4. Submit report to Team Leader on time and ensure smooth functioning of audit process.</t>
    </r>
  </si>
  <si>
    <r>
      <rPr>
        <b/>
        <sz val="11"/>
        <color theme="1"/>
        <rFont val="Calibri"/>
        <family val="2"/>
        <scheme val="minor"/>
      </rPr>
      <t xml:space="preserve">Technical Experts: </t>
    </r>
    <r>
      <rPr>
        <sz val="11"/>
        <color theme="1"/>
        <rFont val="Calibri"/>
        <family val="2"/>
        <scheme val="minor"/>
      </rPr>
      <t xml:space="preserve">
Responsibility
1. Assisting Team Leaders and auditors during the audit as per the audit plan
2. Guide on the technical issues that concerns / affects the assessment of quality of management system of client.
3. Follow the rules and regulations of audit of QCC
4. Advise to audit team on the matters / issues identified during the audit (preparations, Planning or audit)</t>
    </r>
  </si>
  <si>
    <r>
      <rPr>
        <b/>
        <sz val="11"/>
        <color theme="1"/>
        <rFont val="Calibri"/>
        <family val="2"/>
        <scheme val="minor"/>
      </rPr>
      <t xml:space="preserve">Observer: </t>
    </r>
    <r>
      <rPr>
        <sz val="11"/>
        <color theme="1"/>
        <rFont val="Calibri"/>
        <family val="2"/>
        <scheme val="minor"/>
      </rPr>
      <t xml:space="preserve">
1. Follow the rules and regulation of audit of QCC
2. No influence in audit, audit process or outcome of audit.</t>
    </r>
  </si>
  <si>
    <r>
      <rPr>
        <b/>
        <sz val="11"/>
        <color theme="1"/>
        <rFont val="Calibri"/>
        <family val="2"/>
        <scheme val="minor"/>
      </rPr>
      <t>Guides:</t>
    </r>
    <r>
      <rPr>
        <sz val="11"/>
        <color theme="1"/>
        <rFont val="Calibri"/>
        <family val="2"/>
        <scheme val="minor"/>
      </rPr>
      <t xml:space="preserve">
1. Establishing contacts and timing for interviews;
2. Arranging visits to specific parts of the site or organization;
3. Ensuring that rules concerning site safety and security procedures are known and 
    respected by the audit team members;
4. Witnessing the audit on behalf of the client;
5. Providing clarification or information as requested by an auditor.</t>
    </r>
  </si>
  <si>
    <t>Audit Schedule (Surveillance-I)</t>
  </si>
  <si>
    <t>Day &amp; Time
(From - To)</t>
  </si>
  <si>
    <t>Auditor(s) Name</t>
  </si>
  <si>
    <t>Audit Focus / Clauses</t>
  </si>
  <si>
    <t>(Day-1)</t>
  </si>
  <si>
    <t>10:00-10:30</t>
  </si>
  <si>
    <t>Opening Meeting.</t>
  </si>
  <si>
    <t>10:30-14:00</t>
  </si>
  <si>
    <t>Risk Assessment, Monitoring and Measurement,   Quality Control,  Management review, Plan and control operational processes, Address risks and opportunities, Admin, Customer Complaint,  Normative References, Terms and Definitions, Maintain documented information.</t>
  </si>
  <si>
    <t>14:00-14:30</t>
  </si>
  <si>
    <t>Lunch.</t>
  </si>
  <si>
    <t>14:30-18:00</t>
  </si>
  <si>
    <t>MRM Training, IA, Monitoring, Resources, analysis and evaluation, Operation, Calibration, Roles and Responsibilities, Training, improvement in the QMS, Review of Scope and Process.</t>
  </si>
  <si>
    <t>18:00-18:30</t>
  </si>
  <si>
    <t>Closing Meeting.</t>
  </si>
  <si>
    <t>Quality Control Certification   AUD-F-06-Audit Schedule Surveillance I/ Rev.: 03</t>
  </si>
  <si>
    <t>Attendance List from Opening and Closing Meeting (Surveillance I)</t>
  </si>
  <si>
    <t>Audit Date (Surveillance I)</t>
  </si>
  <si>
    <t>Standard</t>
  </si>
  <si>
    <t>PARTICIPANTS</t>
  </si>
  <si>
    <t>S.No.</t>
  </si>
  <si>
    <t>Position / Department</t>
  </si>
  <si>
    <t>Signature</t>
  </si>
  <si>
    <t xml:space="preserve">Opening Meeting (Y/N)
</t>
  </si>
  <si>
    <t xml:space="preserve">Closing Meeting (Y/N)
</t>
  </si>
  <si>
    <t>Y</t>
  </si>
  <si>
    <t>Quality Control Certification       AUD-F-07-Opening &amp; Closing Meeting Attendants/ Rev.: 03</t>
  </si>
  <si>
    <t xml:space="preserve">Audit Report </t>
  </si>
  <si>
    <t xml:space="preserve">Stage 2/Surveillance/Recertification/Special Audit, (On-site or Virtual) </t>
  </si>
  <si>
    <t>1. Organization &amp; Audit Details</t>
  </si>
  <si>
    <t>Email ID</t>
  </si>
  <si>
    <t>1.7</t>
  </si>
  <si>
    <t>Audit Dates</t>
  </si>
  <si>
    <t>to</t>
  </si>
  <si>
    <t xml:space="preserve"> 2. Audit Team Details</t>
  </si>
  <si>
    <t>To determine the capability and effectiveness of the organization’s management system to ensure continual compliance with customer, statutory and regulatory requirements and in meeting its specified objectives and the conformity of the management system to stated criteria.</t>
  </si>
  <si>
    <t xml:space="preserve">Brief about the organization </t>
  </si>
  <si>
    <t>Audit Criteria</t>
  </si>
  <si>
    <t>Performance monitoring, measuring, reporting and review against key performance objectives and targets. Details on the client's management system and performance with regards to legal compliance. Operation control of the client’s processes. Internal audits and management review, and Normative References on management systems.</t>
  </si>
  <si>
    <t>Any deviation from the audit plan and their reasons</t>
  </si>
  <si>
    <t>Any significant issues impacting on the audit programe;</t>
  </si>
  <si>
    <t>Significant changes, if any, that affect the management system of the client since the last audit took place</t>
  </si>
  <si>
    <r>
      <rPr>
        <b/>
        <sz val="11"/>
        <color theme="1"/>
        <rFont val="Calibri"/>
        <family val="2"/>
        <scheme val="minor"/>
      </rPr>
      <t>For surveillance/Recertification/Special Audit, verify the following: Nil</t>
    </r>
    <r>
      <rPr>
        <sz val="11"/>
        <color theme="1"/>
        <rFont val="Calibri"/>
        <family val="2"/>
        <scheme val="minor"/>
      </rPr>
      <t xml:space="preserve">
• Closure of Previous NC &amp; its effectiveness: No
• Compliance of use of QCC logo/marks &amp; Applicable AB logo / marks, if applicable: No
• Any changes with respect to management system: No
• Any Complaints (interested party feedback): No
• Any Change in Scope: No
• Any additional Information: No</t>
    </r>
  </si>
  <si>
    <t xml:space="preserve">Proposed Audit Date for  </t>
  </si>
  <si>
    <t>1 Surveillance/SCE-certification Audit (After 11 months of Stage 2 audit/___ surveillance audit)</t>
  </si>
  <si>
    <t>YES</t>
  </si>
  <si>
    <t xml:space="preserve">Non-Conformities Raised: </t>
  </si>
  <si>
    <t xml:space="preserve">Minor Non-conformance  </t>
  </si>
  <si>
    <t xml:space="preserve">Major Non-conformance </t>
  </si>
  <si>
    <t xml:space="preserve">Observation identified </t>
  </si>
  <si>
    <t>3. Overview of identified non-conformities</t>
  </si>
  <si>
    <t>Management System Standard</t>
  </si>
  <si>
    <t>Details of NC's</t>
  </si>
  <si>
    <t>Type of NC</t>
  </si>
  <si>
    <t>Clause No.</t>
  </si>
  <si>
    <t>Total NC (Nos.)</t>
  </si>
  <si>
    <t>Opportunities for improvement</t>
  </si>
  <si>
    <t>Relevant Clause No.</t>
  </si>
  <si>
    <t>Observation's</t>
  </si>
  <si>
    <t>The organization may reviewed and improved the display arrangement for management commitment in order to the policy content</t>
  </si>
  <si>
    <t>5.2.2</t>
  </si>
  <si>
    <t>Clause</t>
  </si>
  <si>
    <t>Clause Description</t>
  </si>
  <si>
    <t>C/NC/O/OFI</t>
  </si>
  <si>
    <t>4</t>
  </si>
  <si>
    <t>Context of the organization.
4.1 Understanding the organization and its context
4.2 Understanding the needs and expectations of interested parties
4.3 Determining the scope of the quality management system.
4.4 Management system and its processes</t>
  </si>
  <si>
    <t>C</t>
  </si>
  <si>
    <t>5.1</t>
  </si>
  <si>
    <t>Leadership and  commitment 
5.1.1 General
5.1.2 Customer focus</t>
  </si>
  <si>
    <t>5.2.</t>
  </si>
  <si>
    <t>Policy
5.2.1 Establishing the policy
5.2.2 Communicating the policy</t>
  </si>
  <si>
    <t>O</t>
  </si>
  <si>
    <t>5.3.</t>
  </si>
  <si>
    <t>Roles, Responsibilities and authorities</t>
  </si>
  <si>
    <t>6.1</t>
  </si>
  <si>
    <t>6.1 Actions to address risks and opportunities</t>
  </si>
  <si>
    <t>6.2</t>
  </si>
  <si>
    <t>6.2 Objectives and planning to achieve them</t>
  </si>
  <si>
    <t>6.3.</t>
  </si>
  <si>
    <t>QMS-Planning of Changes</t>
  </si>
  <si>
    <t>7.1.</t>
  </si>
  <si>
    <t>Resources
7.1.1 General
7.1.2 People
7.1.3 Infrastructure
7.1.4 Environment for the operation of processes
7.1.5 Monitoring and measuring resources
7.1.6 Organizational knowledge</t>
  </si>
  <si>
    <t>7.2</t>
  </si>
  <si>
    <t>Competence</t>
  </si>
  <si>
    <t>7.3</t>
  </si>
  <si>
    <t>Awareness and training</t>
  </si>
  <si>
    <t>7.4</t>
  </si>
  <si>
    <t>Communication
(Internal &amp; External)</t>
  </si>
  <si>
    <t>7.5.</t>
  </si>
  <si>
    <t>Documented information</t>
  </si>
  <si>
    <t>8.1.</t>
  </si>
  <si>
    <t>Operational planning and control</t>
  </si>
  <si>
    <t>8.2.</t>
  </si>
  <si>
    <t>Requirements for products and services 
8.2.1 Customer communication
8.2.2 Determining the requirements for products and services.
8.2.3 Review of the requirements for products and services.
8.2.4 Changes to requirements for products and services.</t>
  </si>
  <si>
    <t>8.3.</t>
  </si>
  <si>
    <t>Design and development planning 
8.3.2 Design and development planning.8.3.4 Design and development controls..
8.3.5 Design and development outputs.
8.3.6 Design and development changes</t>
  </si>
  <si>
    <t>8.4.</t>
  </si>
  <si>
    <t>Control of externally provided process products and services 
8.4.2 Type and extent of control
8.4.3 Information for external providers</t>
  </si>
  <si>
    <t>8.5.</t>
  </si>
  <si>
    <t>Production and service provision
8.5.1 Control of production and service provision.
8.5.2 Identification and traceability.8.5.3 Property belonging to customers or external providers.
8.5.4 Preservation.
8.5.5 Post-delivery activities.
8.5.6 Control of changes</t>
  </si>
  <si>
    <t>8.6.</t>
  </si>
  <si>
    <t>Release of products and services</t>
  </si>
  <si>
    <t>8.7.</t>
  </si>
  <si>
    <t>Control of nonconforming outputs</t>
  </si>
  <si>
    <t>9.1.</t>
  </si>
  <si>
    <t>Monitoring, measurement, analysis and evaluation
9.1.2 Customer satisfaction.
9.1.3 Analysis and evaluation</t>
  </si>
  <si>
    <t>9.2.</t>
  </si>
  <si>
    <t>Internal audit (Mentioned)
Internal Audit Plan:
Internal Audit Date:
No. of Internal Auditors:
Area's and Department Covered:
Total NC's and Observation:
Current Closure Status:
Verification of Corrective Action:
Effectiveness of Internal Audit /Corrective Action:
Next Internal Audit Plan: and Frequency:</t>
  </si>
  <si>
    <t>9.3</t>
  </si>
  <si>
    <t>Management review
9.3.2 Management review inputs.8
9.3.3 Management review outputs
Management review-Mentioned
MRM Notice:
MRM Agenda:
MRM Date:
Participants:
Decision:
Continual Improvement:
Responsibility:
Timeline to Complete Decision/Continual Improvement Plan:
Next MRM Due Date and Frequency:</t>
  </si>
  <si>
    <t>10</t>
  </si>
  <si>
    <t>10.1 Improvement
10.2 Nonconformity and corrective action.
10.3 Continual improvement</t>
  </si>
  <si>
    <t>RECOMMENDATION (Yes/No)</t>
  </si>
  <si>
    <r>
      <rPr>
        <b/>
        <sz val="11"/>
        <color theme="1"/>
        <rFont val="Calibri"/>
        <family val="2"/>
        <scheme val="minor"/>
      </rPr>
      <t>The Management System complies with the requirements of the reference standard, Confirmation of Client scope found appropriate &amp; Audit objectives are fulfil during the audit.:</t>
    </r>
    <r>
      <rPr>
        <sz val="11"/>
        <color theme="1"/>
        <rFont val="Calibri"/>
        <family val="2"/>
        <scheme val="minor"/>
      </rPr>
      <t xml:space="preserve"> Congratulations, on the basis of the above summary, Lead Auditor is pleased to put forward a recommendation after conduct  </t>
    </r>
    <r>
      <rPr>
        <b/>
        <sz val="11"/>
        <color theme="1"/>
        <rFont val="Calibri"/>
        <family val="2"/>
        <scheme val="minor"/>
      </rPr>
      <t>Stage2 / ___Survillance / Recertification</t>
    </r>
    <r>
      <rPr>
        <sz val="11"/>
        <color theme="1"/>
        <rFont val="Calibri"/>
        <family val="2"/>
        <scheme val="minor"/>
      </rPr>
      <t xml:space="preserve"> Audit for applicaple </t>
    </r>
    <r>
      <rPr>
        <b/>
        <sz val="11"/>
        <color theme="1"/>
        <rFont val="Calibri"/>
        <family val="2"/>
        <scheme val="minor"/>
      </rPr>
      <t>ISO</t>
    </r>
    <r>
      <rPr>
        <sz val="11"/>
        <color theme="1"/>
        <rFont val="Calibri"/>
        <family val="2"/>
        <scheme val="minor"/>
      </rPr>
      <t xml:space="preserve"> </t>
    </r>
    <r>
      <rPr>
        <b/>
        <sz val="11"/>
        <color theme="1"/>
        <rFont val="Calibri"/>
        <family val="2"/>
        <scheme val="minor"/>
      </rPr>
      <t>Certification.</t>
    </r>
    <r>
      <rPr>
        <sz val="11"/>
        <color theme="1"/>
        <rFont val="Calibri"/>
        <family val="2"/>
        <scheme val="minor"/>
      </rPr>
      <t xml:space="preserve"> </t>
    </r>
  </si>
  <si>
    <r>
      <rPr>
        <b/>
        <sz val="11"/>
        <color theme="1"/>
        <rFont val="Calibri"/>
        <family val="2"/>
        <scheme val="minor"/>
      </rPr>
      <t>The Quality Management System complies with the requirements of the reference standard &amp; Confirmation of Client scope found appropriate &amp; Audit objectives are fulfil during the audit with exception of minor NC:</t>
    </r>
    <r>
      <rPr>
        <sz val="11"/>
        <color theme="1"/>
        <rFont val="Calibri"/>
        <family val="2"/>
        <scheme val="minor"/>
      </rPr>
      <t xml:space="preserve">  Congratulations, Lead Auditor is pleased to put forward a recommendation for </t>
    </r>
    <r>
      <rPr>
        <b/>
        <sz val="11"/>
        <color theme="1"/>
        <rFont val="Calibri"/>
        <family val="2"/>
        <scheme val="minor"/>
      </rPr>
      <t>Certification</t>
    </r>
    <r>
      <rPr>
        <sz val="11"/>
        <color theme="1"/>
        <rFont val="Calibri"/>
        <family val="2"/>
        <scheme val="minor"/>
      </rPr>
      <t>, upon off-site verification of closure of all issues within 60 days from the date of Stage 2 audit.  Responses to the non-conformances should be submitted to QCC and must include supporting evidence of closure to allow for off-site verification.  In responding to the non-conformances, the organization should consider the root cause of the non-conformance and the potential for related issues in other parts of system. If all non-conformances are not closed within 60 days, a full reassessment/additionally assessment may be required.</t>
    </r>
  </si>
  <si>
    <r>
      <rPr>
        <b/>
        <sz val="11"/>
        <color theme="1"/>
        <rFont val="Calibri"/>
        <family val="2"/>
        <scheme val="minor"/>
      </rPr>
      <t>Evidence of major non conformities:</t>
    </r>
    <r>
      <rPr>
        <sz val="11"/>
        <color theme="1"/>
        <rFont val="Calibri"/>
        <family val="2"/>
        <scheme val="minor"/>
      </rPr>
      <t xml:space="preserve"> Organization is </t>
    </r>
    <r>
      <rPr>
        <b/>
        <sz val="11"/>
        <color theme="1"/>
        <rFont val="Calibri"/>
        <family val="2"/>
        <scheme val="minor"/>
      </rPr>
      <t>not recommended for Certification</t>
    </r>
    <r>
      <rPr>
        <sz val="11"/>
        <color theme="1"/>
        <rFont val="Calibri"/>
        <family val="2"/>
        <scheme val="minor"/>
      </rPr>
      <t xml:space="preserve"> at this time. A follow-up assessment will be scheduled to allow for on-site verification and closure of all issues within 60 days from the date of Stage 2.
Once all non-conformances are closed, the recommendation for Certification may be made.  Responses to the non-conformances should be submitted to QCC within 45 days and must include supporting evidence. In responding to the non-conformances, the organization should consider the root cause of the non-conformance and the potential for related issues in other parts of system.
If all non-conformances are not closed within 60 days, a full reassessment may be required.</t>
    </r>
  </si>
  <si>
    <t>Not Recommended: Organization is recommended for Suspension / Withdrawal / __Surveillance / SCE-Certification of current Certification. Additional Stage audit will be required, if Organization want to make statues Certified with Concern ISO Standard.</t>
  </si>
  <si>
    <t xml:space="preserve">Results of the evaluation of management system documents and their implementation </t>
  </si>
  <si>
    <t>I carried out this audit as above and submit this report to QCC report reviewer. I hereby submitted the audit report of organization and my recommend for:</t>
  </si>
  <si>
    <t xml:space="preserve">Certificate Continue </t>
  </si>
  <si>
    <t>Reduce/Extend Scope
of standard certificate to above mention organization.</t>
  </si>
  <si>
    <t>Quality Control Certification     AUD-F-15-Audit Report/ Rev.: 03</t>
  </si>
  <si>
    <t xml:space="preserve">Surveillance Report Review </t>
  </si>
  <si>
    <t>INITIAL AUDIT</t>
  </si>
  <si>
    <t>1ST SURVEILLANCE</t>
  </si>
  <si>
    <t>2ND SURVEILLANCE</t>
  </si>
  <si>
    <t>RECERTIFICATION</t>
  </si>
  <si>
    <t>SPECIAL AUDIT</t>
  </si>
  <si>
    <t>Address</t>
  </si>
  <si>
    <t>Audit Type</t>
  </si>
  <si>
    <t>Review Details</t>
  </si>
  <si>
    <t xml:space="preserve">Remarks </t>
  </si>
  <si>
    <t>Initial Audit</t>
  </si>
  <si>
    <t xml:space="preserve">Application Review &amp; Stage 1 Audit </t>
  </si>
  <si>
    <t>Is Approved Auditor(s) available in the applied Code?</t>
  </si>
  <si>
    <t>Is Correct calculation of Man-day(s) as per application filled?</t>
  </si>
  <si>
    <t>Does Agreement Sign by the client?</t>
  </si>
  <si>
    <t>What is the name of Auditor(s) approved for Stage 1 Audit?</t>
  </si>
  <si>
    <t>Is Declaration (AD-F-03) signed by the auditor(s)?</t>
  </si>
  <si>
    <t>Stage 1 Was Audit Plan &amp; Schedule informed to the client prior 7 days to audit?</t>
  </si>
  <si>
    <t>Stage 1 What was the Audit date?</t>
  </si>
  <si>
    <t>To</t>
  </si>
  <si>
    <t xml:space="preserve">Does Scope finalize as per client products / Service? </t>
  </si>
  <si>
    <t>What is the difference found between the given details (filled application) and stage 1 report?</t>
  </si>
  <si>
    <t>Total No. of observation found.</t>
  </si>
  <si>
    <t>Total No. of Minor NC found.</t>
  </si>
  <si>
    <t>Total No. of Major NC found.</t>
  </si>
  <si>
    <t>Stage 2 Audit</t>
  </si>
  <si>
    <t>Does stage 2 auditor different from stage 1? Yes / No</t>
  </si>
  <si>
    <t>If Yes: Name of approved Auditor(s) for Stage 2 Audit? 
 Auditor(s) Declaration (AD-F-03) signed by auditor(s)?</t>
  </si>
  <si>
    <t>Stage 2 Was Audit Plan &amp; Schedule informed to the client prior 7 days to audit?</t>
  </si>
  <si>
    <t>Stage 2 What was the audit date?</t>
  </si>
  <si>
    <t xml:space="preserve">Total number of observations found. </t>
  </si>
  <si>
    <t>Total number of Minor NC found.</t>
  </si>
  <si>
    <t>Total number of Major NC found</t>
  </si>
  <si>
    <t>What is the recommendation of Lead Auditor for the client organization?
Certificate issue / Maintenance / Renewal / Suspend / Withdrawal / Reduce/Extend Scope</t>
  </si>
  <si>
    <t xml:space="preserve">Multi-site certification </t>
  </si>
  <si>
    <t>Does Client have multi-site location?
Is calculation of man-days appropriate as per given multi-site location?</t>
  </si>
  <si>
    <t>Is calculation of sample site appropriate as per given multi-site location?</t>
  </si>
  <si>
    <t xml:space="preserve">Does any changes with respect to process/manpower/activities or defined scope of organization in multi-site location? </t>
  </si>
  <si>
    <t>1st Surveillance Audit</t>
  </si>
  <si>
    <t>If NCR was raised about selected site as sample, did you confirm that equivalent corrective action was also taken in other sites?</t>
  </si>
  <si>
    <t>2nd Surveillance Audit</t>
  </si>
  <si>
    <t>Special Audit</t>
  </si>
  <si>
    <t xml:space="preserve">Is any change at client site/address, scope or key management person? </t>
  </si>
  <si>
    <t>What is Name of Auditor(s) approved for Audit?</t>
  </si>
  <si>
    <t>Is Auditor(s) Declaration (AD-F-03) signed by auditor(s)?</t>
  </si>
  <si>
    <t xml:space="preserve">Was surveillance/renewal audit conducted periodically? If not, following action such as delay document/suspension/cancellation was conducted? </t>
  </si>
  <si>
    <t>Surveillance Audit Plan &amp; Schedule was informed to client prior 7 days to audit?</t>
  </si>
  <si>
    <t>Is surveillance audit plan prepared as per AUD-F-03A-Audit Planning for 3 years?</t>
  </si>
  <si>
    <t>Date of audit conducted</t>
  </si>
  <si>
    <t>All the core processes were covered during the surveillance audit. (in case any support processes were not covered, the reason for the same is submitted in written)</t>
  </si>
  <si>
    <t>Use of logo was verified and found in line with guidance</t>
  </si>
  <si>
    <t>Total number of observations.</t>
  </si>
  <si>
    <t>Total number of Minor NC.</t>
  </si>
  <si>
    <t>Total number of Major NC.</t>
  </si>
  <si>
    <t>What is Lead Auditor’s recommendation for client organization?
 Maintain / Renewal / Suspend / Withdrawal / Reduce/Extend Scope</t>
  </si>
  <si>
    <t>Maintain</t>
  </si>
  <si>
    <t>Recertification Audit</t>
  </si>
  <si>
    <t>Is Recertification audit planned and conducted within the timeline or prior to the expiry of certification?</t>
  </si>
  <si>
    <t xml:space="preserve">What is Name of approved Auditor(s) for Stage 2 Audit? </t>
  </si>
  <si>
    <t>Is Recertification audit plan prepared as per AUD-F-03A-Audit Planning for 3 years?</t>
  </si>
  <si>
    <t>Was Recertification Audit Plan &amp; Schedule informed to client prior 7 days to audit?</t>
  </si>
  <si>
    <t>Were All the core processes covered during the surveillance audit? (in case any support processes were not covered, the reason for the same is submitted in written)</t>
  </si>
  <si>
    <t>Was Use of logo verified and found in line with guidance</t>
  </si>
  <si>
    <t>Recertification Audit date.</t>
  </si>
  <si>
    <t>Total number of observations found.</t>
  </si>
  <si>
    <t>Total number of Minor NC found</t>
  </si>
  <si>
    <t>What is Lead Auditor recommendation for client organization?
 Renewal / Suspend / Withdrawal / Reduce/Extend Scope</t>
  </si>
  <si>
    <t xml:space="preserve">I,  </t>
  </si>
  <si>
    <t>verified and found that Audit report is: OK</t>
  </si>
  <si>
    <r>
      <rPr>
        <b/>
        <u/>
        <sz val="11"/>
        <color theme="1"/>
        <rFont val="Calibri"/>
        <family val="2"/>
        <scheme val="minor"/>
      </rPr>
      <t>Appropriate</t>
    </r>
    <r>
      <rPr>
        <sz val="11"/>
        <color theme="1"/>
        <rFont val="Calibri"/>
        <family val="2"/>
        <scheme val="minor"/>
      </rPr>
      <t xml:space="preserve"> and the </t>
    </r>
    <r>
      <rPr>
        <b/>
        <u/>
        <sz val="11"/>
        <color theme="1"/>
        <rFont val="Calibri"/>
        <family val="2"/>
        <scheme val="minor"/>
      </rPr>
      <t>sufficient</t>
    </r>
    <r>
      <rPr>
        <sz val="11"/>
        <color theme="1"/>
        <rFont val="Calibri"/>
        <family val="2"/>
        <scheme val="minor"/>
      </rPr>
      <t xml:space="preserve"> Objectives Evidence is Present in the Audit Report. So, this is Recommended that Issuance of Certification will be granted.
</t>
    </r>
    <r>
      <rPr>
        <b/>
        <u/>
        <sz val="11"/>
        <color theme="1"/>
        <rFont val="Calibri"/>
        <family val="2"/>
        <scheme val="minor"/>
      </rPr>
      <t xml:space="preserve">Final Decision: </t>
    </r>
    <r>
      <rPr>
        <sz val="11"/>
        <color theme="1"/>
        <rFont val="Calibri"/>
        <family val="2"/>
        <scheme val="minor"/>
      </rPr>
      <t xml:space="preserve">
 Certificate issue 
√   Maintain / Surveillance Audit Successful
   Renewal
</t>
    </r>
    <r>
      <rPr>
        <b/>
        <u/>
        <sz val="11"/>
        <color theme="1"/>
        <rFont val="Calibri"/>
        <family val="2"/>
        <scheme val="minor"/>
      </rPr>
      <t>required supplement</t>
    </r>
    <r>
      <rPr>
        <sz val="11"/>
        <color theme="1"/>
        <rFont val="Calibri"/>
        <family val="2"/>
        <scheme val="minor"/>
      </rPr>
      <t xml:space="preserve"> and the</t>
    </r>
    <r>
      <rPr>
        <b/>
        <u/>
        <sz val="11"/>
        <color theme="1"/>
        <rFont val="Calibri"/>
        <family val="2"/>
        <scheme val="minor"/>
      </rPr>
      <t xml:space="preserve"> insufficient</t>
    </r>
    <r>
      <rPr>
        <sz val="11"/>
        <color theme="1"/>
        <rFont val="Calibri"/>
        <family val="2"/>
        <scheme val="minor"/>
      </rPr>
      <t xml:space="preserve"> Objectives Evidences was Present into the Audit Report. So, this is Recommended that sufficient Objectives Evidences required.
Required Supplement Objective Evidences mentioned below:  </t>
    </r>
  </si>
  <si>
    <t>REVIEW DATE</t>
  </si>
  <si>
    <r>
      <rPr>
        <sz val="11"/>
        <color theme="1"/>
        <rFont val="Calibri"/>
        <family val="2"/>
        <scheme val="minor"/>
      </rPr>
      <t xml:space="preserve">I, </t>
    </r>
    <r>
      <rPr>
        <b/>
        <sz val="11"/>
        <color theme="1"/>
        <rFont val="Calibri"/>
        <family val="2"/>
        <scheme val="minor"/>
      </rPr>
      <t>Brijesh Kumar (HOD)</t>
    </r>
    <r>
      <rPr>
        <sz val="11"/>
        <color theme="1"/>
        <rFont val="Calibri"/>
        <family val="2"/>
        <scheme val="minor"/>
      </rPr>
      <t xml:space="preserve"> review the above report and Other relevant docs, following my Decision:
</t>
    </r>
    <r>
      <rPr>
        <b/>
        <u/>
        <sz val="11"/>
        <color theme="1"/>
        <rFont val="Calibri"/>
        <family val="2"/>
        <scheme val="minor"/>
      </rPr>
      <t xml:space="preserve"> Final Decision: </t>
    </r>
    <r>
      <rPr>
        <sz val="11"/>
        <color theme="1"/>
        <rFont val="Calibri"/>
        <family val="2"/>
        <scheme val="minor"/>
      </rPr>
      <t xml:space="preserve">
0 Certificate issue 
√ Maintenance / Surveillance Audit Successful
0 Renewal
0 Reduce 
0 Extend Scope</t>
    </r>
  </si>
  <si>
    <t>Quality Control Certification   AUD-F-22-Review Report / Rev.: 03</t>
  </si>
  <si>
    <t>Corrective Action Report</t>
  </si>
  <si>
    <t>NCR No.</t>
  </si>
  <si>
    <t>Dept.</t>
  </si>
  <si>
    <t>Details of NC</t>
  </si>
  <si>
    <t xml:space="preserve">Result of corrective action </t>
  </si>
  <si>
    <t>Root Cause</t>
  </si>
  <si>
    <t xml:space="preserve">Correction </t>
  </si>
  <si>
    <t>Corrective Action</t>
  </si>
  <si>
    <t xml:space="preserve">Completion Date of Corrective 
Action: 
</t>
  </si>
  <si>
    <t>For Auditor(s) / QCC use only</t>
  </si>
  <si>
    <t>Evaluation Result of Corrective Action</t>
  </si>
  <si>
    <t xml:space="preserve">Accepted By:                                                                                      </t>
  </si>
  <si>
    <t>Position:</t>
  </si>
  <si>
    <t>QCC use only:
Corrective Action Follow Up: Result of Confirmation / Evaluation     Satisfied     Unsatisfied
If Unsatisfied, write the reason:</t>
  </si>
  <si>
    <t>Confirmation Officer:</t>
  </si>
  <si>
    <t>Date:</t>
  </si>
  <si>
    <t>Quality Control Certification       AUD-F-17-Corrective Action Report / Rev.: 03</t>
  </si>
  <si>
    <r>
      <rPr>
        <b/>
        <sz val="14"/>
        <color theme="1"/>
        <rFont val="Calibri"/>
        <family val="2"/>
        <scheme val="minor"/>
      </rPr>
      <t>QUALITY CONTROL CERTIFICATION</t>
    </r>
    <r>
      <rPr>
        <b/>
        <sz val="12"/>
        <color theme="1"/>
        <rFont val="Calibri"/>
        <family val="2"/>
        <scheme val="minor"/>
      </rPr>
      <t xml:space="preserve">
Registered Office: 2ND Floor, Aman Market, RKBM House, Narela Mandi, Delhi – 110040 INDIA
www.qccertification.com / info@qccertification.com</t>
    </r>
  </si>
  <si>
    <t xml:space="preserve">
Regards,
            RK Verma, Director
           Quality Control Certification
</t>
  </si>
  <si>
    <t>Quality Control Certification                     ADMN-F-01-Continuation Letter / Rev.: 03</t>
  </si>
  <si>
    <t xml:space="preserve">DLMM ENTERPRISE </t>
  </si>
  <si>
    <t>Machanized Housekeeping Services, Man Power Supply, Cleaning and Sanitation Services, Security Services, Facility Management Services, HR Human Resources, Outsourcing Services Skilled Unskilled Semi Skilled Worker Supply Labour Supply Outsourcing Services Manpower Requirement Agency Paramedical Staff Supply Civil and Electrical Services Manpower Supply Supervision Services Management Services Loading and Unloading Services Agriculture Services Gardening Services Maintenance Services</t>
  </si>
  <si>
    <t>Ground Floor, Plot No. 205, Sector No. 7, Gandhidham, Kachchh, Gujarat - 370201, India</t>
  </si>
  <si>
    <t>Manish Karsanbhai maheshwari</t>
  </si>
  <si>
    <t>Owner</t>
  </si>
  <si>
    <t>manish@gmail.com</t>
  </si>
  <si>
    <t>9650086955</t>
  </si>
  <si>
    <t>Meraj Sahab</t>
  </si>
  <si>
    <t>Sitanath Nandi</t>
  </si>
  <si>
    <t>meraj@gmail.com</t>
  </si>
  <si>
    <t>Kishor danicha</t>
  </si>
  <si>
    <t>Security Supervisior</t>
  </si>
  <si>
    <t>Buchiya Amit</t>
  </si>
  <si>
    <t>Guards</t>
  </si>
  <si>
    <t>Kallu shivnath</t>
  </si>
  <si>
    <t>Gautam bhastsar</t>
  </si>
  <si>
    <t>DLMM ENTERPRISE  is a professional and customer-focused company dedicated to delivering high-quality products and services. With a strong commitment to excellence, innovation, and continuous improvement, the organization aims to meet and exceed customer expectations. It operates through well-defined processes and skilled teams to ensure efficiency, reliability, and compliance with industry standards and regulations. The organization values safety, sustainability, and teamwork as core principles driving its success and growth.</t>
  </si>
  <si>
    <t>5.1 Leadership and Commitment
5.1.1 General:
Top management demonstrates leadership by taking responsibility for the effectiveness of the Quality Management System (QMS). They ensure that quality objectives align with the organization's strategic direction, integrate QMS principles into operational processes, allocate necessary resources, support employee competence, and promote continual improvement and risk-based thinking throughout the organization.
Ref No. – DLM/QMS/PROC/-05.01.01
5.1.2 Customer Focus:
Management ensures customer expectations are met by identifying their needs, ensuring product conformity, and enhancing customer satisfaction. They focus on timely delivery, reducing complaints, and maintaining strong relationshSSE, while addressing risks and opportunities that may impact customer satisfaction or product quality.
Ref No. – DLM/QMS/PROC/-05.01.02</t>
  </si>
  <si>
    <t>5.2 Policy
5.2.1 Establishing the Policy:
The organization must create an approved policy aligned with its purpose, compliance obligations, and improvement goals. It should be relevant, documented, and reviewed regularly by top management.
Ref No. – DLM/QMS/PROC/-05.02.01
5.2.2 Communicating the Policy:
The policy must be communicated clearly to all internal and relevant external parties, ensuring it is accessible, understood, and effectively implemented across the organization.
Ref No. – DLM/QMS/PROC/-05.02.02</t>
  </si>
  <si>
    <t>6.1 Actions to Address Risks and Opportunities
The organization has established a systematic approach to identify and address risks and opportunities that could impact the intended outcomes of its Quality Management System (QMS). The organization evaluates both internal and external factors, customer expectations, and operational challenges to determine potential risks. These are documented in the Risk and Opportunity Register, prioritized based on severity and likelihood, and appropriate actions are planned to mitigate risks or enhance opportunities. This ensures the QMS remains effective, assures customer satisfaction, and supports continual improvement. Actions are integrated into operational and strategic planning, and their effectiveness is monitored periodically.
Ref No. – DLM/QMS/PROC/-06.01</t>
  </si>
  <si>
    <t>6.2 Objectives and Planning to Achieve Them
The organization has established measurable quality objectives at relevant functions and levels to ensure consistent performance and alignment with the Quality Policy. These objectives are specific, measurable, achievable, relevant, and time-bound (SMART). The organization regularly reviews objectives such as improving product quality, reducing customer complaints, enhancing on-time delivery, and increasing customer satisfaction. For each objective, action plans are defined, resources are allocated, responsibilities are assigned, and timelines are established. The progress is monitored and evaluated during internal audits and management reviews to ensure continual improvement.
Ref No. – DLM/QMS/PROC/-06.02</t>
  </si>
  <si>
    <t>6.3 Planning of Changes
The organization ensures that all changes to the Quality Management System (QMS) are planned and implemented in a controlled manner. Before any change is introduced, the organization evaluates the purpose, potential consequences, resource needs, and responsibilities involved. This includes assessing risks, maintaining process integrity, and ensuring that documentation and records are updated accordingly. Communication of changes is ensured to all relevant personnel. The effectiveness of changes is reviewed during internal audits and management reviews to verify that intended outcomes are achieved without disrupting system performance.
Ref No. – DLM/QMS/PROC/-06.03</t>
  </si>
  <si>
    <t xml:space="preserve">7.1 Resources
7.1.1 General
The organization must determine and provide the necessary resources to establish, implement, maintain, and continually improve its processes and management system.
Ref No. – DLM/QMS/PROC/-07.01.01
7.1.2 People
Ensure adequate and competent personnel are available to perform tasks that impact quality, performance, or compliance—this includes recruitment, training, and role assignment.
Ref No. – DLM/QMS/PROC/-07.01.02
7.1.3 Infrastructure
Provide and maintain physical and technological infrastructure such as:
Buildings, workspaces
Hardware and software
Communication tools
Utilities and transportation means necessary for operations
Ref No. – DLM/QMS/PROC/-07.01.03
7.1.4 Environment for the Operation of Processes:
Maintain an appropriate working environment that supports operational performance, including:
Physical conditions (e.g., cleanliness, safety)
Social and psychological factors (e.g., low stress, motivation)
Ref No. – DLM/QMS/PROC/-07.01.04
7.1.5 Monitoring and Measuring Resources:
The organization ensures that monitoring and measuring devices used to verify product quality are calibrated, maintained, and fit for purpose. Calibration records are maintained, and any non-conforming equipment is immediately addressed.
Ref No. – DLM/QMS/PROC/-07.01.05
7.1.6 Organizational Knowledge:
The organization identifies and maintains knowledge necessary to ensure conformity of products and services. This includes documented procedures, technical expertise, product formulations, and leSPOns learned, which are preserved and shared across teams.
Ref No. – DLM/QMS/PROC/-07.01.06
</t>
  </si>
  <si>
    <t>7.2 Competence
The organization determines the necessary competence for personnel performing work under its control that affects the performance and effectiveness of the Quality Management System (QMS). The organization ensures that employees are qualified through appropriate education, training, or experience. Competence gaps are identified and addressed through structured training programs, on-the-job learning, and performance evaluation. Records of qualifications, skills, certifications, and training outcomes are maintained. Periodic reviews are conducted to ensure continued suitability and effectiveness of personnel competence in line with evolving roles and responsibilities.
Competency requirements for newly hired personnel are defined as per ISO 9001:2015.
Rina Desai – Operations and Jignesh Mehta – Operations are evaluated as competent for their assigned roles.
Competency is ensured through appropriate education, training, skills, and experience.
Effectiveness of competence is periodically reviewed.
Records of competency evaluation are maintained and available for audit verification.
Ref No. – DLM/QMS/PROC/-07.02</t>
  </si>
  <si>
    <t>7.3 Awareness
The organization ensures that all employees are made aware of the Quality Policy, relevant quality objectives, their contribution to the effectiveness of the Quality Management System (QMS), and the implications of not conforming to system requirements. Awareness is promoted through induction programs, team meetings, visual displays, and internal communications to ensure alignment with organizational goals and customer expectations.
Awareness training conducted for newly hired personnel as per ISO 9001:2015.
Personnel covered: Rina Desai – Operations and Jignesh Mehta – Operations.
Awareness includes roles and responsibilities, quality objectives, and applicable procedures.
Personnel are aware of QMS requirements and implications of nonconformance.
Training and awareness records are maintained and available for audit verification.
Ref No. – DLM/QMS/PROC/-07.03
Training (Supporting 7.2 – Competence)
The organization conducts regular training to ensure employee competence and performance across functions. Training needs are identified through performance reviews, audits, or changes in products or processes. Both internal and external training programs are planned, delivered, and evaluated for effectiveness. Training records, attendance sheets, and skill assessment results are maintained as evidence of compliance and capability development.
Ref No. – DLM/QMS/PROC/-07.02-T</t>
  </si>
  <si>
    <t>7.4 Communication (Internal &amp; External)
Internal Communication:
The organization ensures effective internal communication through regular team meetings, job card briefings, work instructions, and technical updates shared among technicians, supervisors, and customer service staff. Safety instructions, service protocols, and quality updates are communicated promptly to ensure smooth operations and compliance.
External Communication:
External communication with customers, suppliers, and regulatory bodies is managed through service estimates, job cards, invoices, phone calls, emails, and feedback forms. The Customer Service Executive is the primary point of contact for all customer interactions, while the management handles communication with external agencies and vendors.
Ref No. – DLM/QMS/PROC/-07.04</t>
  </si>
  <si>
    <t xml:space="preserve">7.5 Documented Information
The organization maintains and controls documented information to ensure the effectiveness of the Quality Management System (QMS) and product conformity.
Controlled Documents: Quality manual, procedures, work instructions, forms, and records relevant to manufacturing and inspection.
Records Maintained: Inspection reports, calibration records, training logs, nonconformity reports, customer feedback, and internal audits.
Access &amp; Storage: Documents are stored securely (physically and digitally), with controlled access and version control to prevent misuse or outdated usage.
Review &amp; Update: Documents are reviewed periodically for relevance and accuracy, and changes are approved by authorized personnel.
Ref No. – DLM/QMS/PROC/-07.05
</t>
  </si>
  <si>
    <t xml:space="preserve">8.1 Operational Planning and Control
The organization plans and controls its processes to meet product, service, and system requirements by defining objectives, assigning resources, setting control criteria, managing risks, and maintaining documented information. Continuous monitoring ensures effective and consistent outcomes.
Ref No. – DLM/QMS/PROC/-08.01
</t>
  </si>
  <si>
    <t xml:space="preserve">8.2 Requirements for Products and Services
8.2.1 Customer Communication
The organization has established effective channels to communicate with customers regarding product information, inquiries, contracts, orders, amendments, feedback, and complaints. Communication methods include email, phone, customer visits, and documented feedback forms to ensure clear, timely, and professional interaction.
Ref No. – DLM/QMS/PROC/-08.02.01
8.2.2 Determining the Requirements for Products and Services
The organization ensures that all product and service requirements are clearly understood. This includes explicit customer requirements, statutory and regulatory obligations, and any additional needs considered necessary for product conformity and customer satisfaction. These requirements are recorded and reviewed before acceptance.
Ref No. – DLM/QMS/PROC/-08.02.02
8.2.3 Review of the Requirements for Products and Services
Prior to commitment, The organization reviews all customer requirements to ensure the organization has the capability to meet them. This includes technical feasibility, delivery timelines, capacity, and compliance with quality standards. Records of such reviews are maintained, and any deviations or clarifications are resolved with the customer.
Ref No. – DLM/QMS/PROC/-08.02.03
8.2.4 Changes to Requirements for Products and Services
Any changes to customer requirements are formally reviewed and communicated to all affected departments. Necessary updates to related documents, processes, and resources are made, and approvals are documented to ensure continued conformity to customer expectations.
Ref No. – DLM/QMS/PROC/-08.02.04
</t>
  </si>
  <si>
    <t>8.3 Design and Development (QMS)
8.3.2 Design and Development Planning
 plans design and development activities for custom repairs or vehicle modifications by defining the stages, assigning responsibilities, and ensuring resource availability, including reviews, verification methods, and required approvals.
Ref No. – DLM/QMS/PROC/-08.03.02
8.3.4 Design and Development Controls
The organization ensures all design outputs are reviewed, verified, and validated against input requirements through cross-functional reviews and technician approvals to ensure effectiveness and customer satisfaction.
Ref No. – DLM/QMS/PROC/-08.03.04
8.3.5 Design and Development Outputs
 Final repair/modification specifications, component lists, and safety instructions are issued after thorough review and approval, ensuring compatibility with downstream operations and customer expectations.
Ref No. – DLM/QMS/PROC/-08.03.05
8.3.6 Design and Development Changes
All changes in repair/modification plans are documented, reviewed for impact, approved by authorized personnel, and communicated to relevant departments before execution.
Ref No. – DLM/QMS/PROC/-08.03.06</t>
  </si>
  <si>
    <t xml:space="preserve">8.4 Control of Externally Provided Processes, Products, and Services (QMS)
8.4.2 Type and Extent of Control
The organization determines and applies appropriate controls to externally provided processes, products, and services to ensure that they conform to specified requirements. The level of control is based on the impact the supplied item has on final product quality, including supplier criticality, risk level, and past performance. Controls include supplier evaluation, verification of certificates of analysis, incoming inspection, and periodic audits.
Ref No. – DLM/QMS/PROC/-08.04.02
8.4.3 Information for External Providers
The organization communicates clear and complete requirements to external providers regarding the product or service to be supplied. This includes specifications, drawings, quality standards, delivery requirements, acceptance criteria, and instructions for processes where applicable. The organization also ensures that suppliers are aware of the need to notify The organization about nonconformities, changes, or process deviations.
Ref No. – DLM/QMS/PROC/-08.04.03
</t>
  </si>
  <si>
    <t>8.5 Production and Service Provision (QMS)
8.5.1 Control of Production and Service Provision
The organization ensures that production and service operations are carried out under controlled conditions. This includes the availability of work instructions, use of suitable equipment, implementation of monitoring and measurement, qualified personnel, and validated processes where applicable. Batch manufacturing records and quality control checkpoints are maintained throughout operations.
Ref No. – DLM/QMS/PROC/-08.05.01
8.5.2 Identification and Traceability
Products are identified and tracked from receipt of raw materials to final dispatch. The organization uses batch numbers, labels, and system-based tracking to ensure full traceability and to maintain segregation between conforming and non-conforming material. This traceability supports both recall and investigation processes when required.
Ref No. – DLM/QMS/PROC/-08.05.02
8.5.3 Property Belonging to Customers or External Providers
Any property provided by customers or suppliers—such as packaging materials, proprietary data, or samples—is identified, verified, protected, and tracked. In case of loss, damage, or unsuitability, The organization informs the concerned party and maintains a record of such incidents.
Ref No. – DLM/QMS/PROC/-08.05.03
8.5.4 Preservation
The organization ensures that products are preserved during internal processing and delivery. This includes proper handling, storage, packaging, labeling, temperature control, and protection from contamination or damage, thereby ensuring product integrity up to final use.
Ref No. – DLM/QMS/PROC/-08.05.04
8.5.5 Post-Delivery Activities
Post-delivery responsibilities such as product support, customer feedback handling, complaint resolution, and regulatory reporting are defined and managed. The organization ensures that all post-delivery activities comply with applicable customer and statutory requirements.
Ref No. – DLM/QMS/PROC/-08.05.05
8.5.6 Control of Changes
Any changes to production or service processes, including materials, equipment, methods, or specifications, are reviewed, verified, and approved prior to implementation. The organization maintains records of such changes and assesses their impact on product quality and customer satisfaction.
Ref No. – DLM/QMS/PROC/-08.05.06</t>
  </si>
  <si>
    <t>8.6 Release of Products and Services
The organization ensures that products and services are not released to the customer until all planned activities have been satisfactorily completed. This includes verifying that requirements are met, maintaining documented evidence of conformity, and having authorized personnel approve the release.
Ref No. – DLM/QMS/PROC/-08.06</t>
  </si>
  <si>
    <t>8.7 Control of Nonconforming Outputs
The organization identifies and controls products or services that do not meet requirements to prevent unintended use or delivery. Actions may include correction, segregation, rework, or rejection. All decisions and actions taken are documented, and responsibilities for managing nonconformities are clearly defined.
Ref No. – DLM/QMS/PROC/-08.07</t>
  </si>
  <si>
    <t xml:space="preserve">9.1 Monitoring, Measurement, Analysis and Evaluation
9.1.2 Customer Satisfaction
Customer satisfaction is evaluated through direct feedback, service rating forms, online reviews, and complaint tracking. Collected data is analyzed to identify trends, recurring issues, and areas needing improvement. Results are reviewed by management to take corrective and preventive actions.
Ref No. – DLM/QMS/PROC/-09.01.02
9.1.3 Analysis and Evaluation
The organization analyses service performance data, internal audit findings, and customer feedback to assess QMS effectiveness. Trends, risks, and opportunities are evaluated to guide improvement actions and ensure objectives are being met.
Ref No. – DLM/QMS/PROC/-09.01.03
</t>
  </si>
  <si>
    <t>Internal Audit (Mentioned): 
Internal Audit Plan: IA-QMS-2025-01 dated 22-12-2025
Internal Audit Date: 24-12-2025
No. of Internal Auditors: 2 Auditors
Area's and Department Covered: Production, Quality Control, Stores, HR/Admin, Purchase, Dispatch.
Total NC's and Observation: 1 NCs,  0 Observations.
Current Closure Status: All NCs and observations closed 
Verification of Corrective Action: Verified by Lead Auditor with closure evidence.
Effectiveness of Internal Audit / Corrective Action: Found effective during follow-up; actions implemented and sustained.
Next Internal Audit Plan and Frequency: Scheduled for 2026; Frequency –Bi-annual.
Conducted as per DLM/QMS/PROC/-09.02</t>
  </si>
  <si>
    <t>10.2 Nonconformity and Corrective Action
The organization takes prompt action when nonconformities occur, including customer complaints, process deviations, or audit findings. The organization identifies the root cause using methods like 5 Whys or Fishbone analysis, and implements corrective actions to eliminate the cause and prevent recurrence. The effectiveness of these actions is verified and documented. All nonconformities and actions taken are logged and reviewed regularly to ensure system reliability and sustained compliance.
Ref No. – DLM/QMS/PROC/-10.02
10.3 Continual Improvement
The organization is committed to the continual improvement of its Quality Management System to enhance overall performance. Improvement opportunities are identified through audits, data analysis, customer feedback, and employee suggestions. Improvement initiatives are prioritized, planned, implemented, and monitored to ensure they align with strategic goals and enhance customer satisfaction, product quality, and process efficiency.
Ref No. – DLM/QMS/PROC/-10.03</t>
  </si>
  <si>
    <t xml:space="preserve">4.1 Understanding the Organization and its Context
The organization identifies internal and external issues that may impact its strategic objectives and management system outcomes.
Documents Verified: Context Analysis Report
Ref No. – DLM/QMS/PROC/-04.01
4.2 Understanding the Needs and Expectations of Interested Parties
Relevant stakeholders and their requirements (legal, regulatory, contractual) are identified and reviewed.
Documents Verified: Stakeholder Register, Compliance Register
Ref No. – DLM/QMS/PROC/-04.02
4.3 Determining the Scope of the Management System
SCOPE:  Machanized Housekeeping Services, Man Power Supply, Cleaning and Sanitation Services, Security Services, Facility Management Services, HR Human Resources, Outsourcing Services Skilled Unskilled Semi Skilled Worker Supply Labour Supply Outsourcing Services Manpower Requirement Agency Paramedical Staff Supply Civil and Electrical Services Manpower Supply Supervision Services Management Services Loading and Unloading Services Agriculture Services Gardening Services Maintenance Services
Ref No. – DLM/QMS/PROC/-04.03
4.4 Management System and its Processes
Processes and their interactions are defined, monitored, and controlled for effective system implementation.
Documents Verified: Process Map, Quality Manual
Ref No. – DLM/QMS/PROC/-04.04
</t>
  </si>
  <si>
    <t xml:space="preserve">Roles, responsibilities, and authorities have been defined and communicated across The organization to ensure effective implementation and operation of the Quality Management System (QMS).
Manish Karsanbhai maheshwari-Owner
Kishor danicha-Security Supervisior
Buchiya Amit-Guards
Ref No. – DLM/QMS/PROC/-05.03
</t>
  </si>
  <si>
    <t>Management Review – Mentioned:
MRM Notice: Issued on 01-01-2026
MRM Agenda: Based on ISO 9001:2015 Clause 9.3.2 covering QMS performance, audit results, objectives, feedback, NCs, risks, and resources.
MRM Date: 03-01-2026
Manish Karsanbhai maheshwari-Owner
Kishor danicha-Security Supervisior
Buchiya Amit-Guards
Management Review Inputs: Previous MRM actions, internal/external issues, audit results, customer feedback, objectives status, NCs &amp; CAPA, supplier performance, resources adequacy, risks &amp; opportunities.
Management Review Outputs: Improvement opportunities, QMS and resource changes, updated objectives, decisions for CAPA, assigned responsibilities.
Decision: Implement automated filling system, conduct QC team training, revise QMS &amp; supplier process.
Continual Improvement: Enhance traceability, reduce complaint resolution time by 25%, upgrade QA lab equipment.
Responsibility: Operations Head and QA Head.
Timeline to Complete Decision/Continual Improvement Plan: By 2026
Next MRM Due Date and Frequency:2026, Frequency – Bi-annual.
 Conducted as per DLM/QMS/PROC/-09.03.</t>
  </si>
  <si>
    <t xml:space="preserve">Ref. No. QCC/DLM/01/26   	                                                        					       Dated: 24-01-2026
To,
Organaization Name: DLMM ENTERPRISE 
Address: Ground Floor, Plot No. 205, Sector No. 7, Gandhidham, Kachchh, Gujarat - 370201, India
Subject: Continuation of ISO 9001:2015 Certificate
Dear Sir,
Please accept our Congratulations on Msuccessful completion of 1st Surveillance Audit for Quality Management System Certification at your works/Office for continued compliance towards the requirements of ISO 9001:2015 standard.
Scope of Registration:- Machanized Housekeeping Services, Man Power Supply, Cleaning and Sanitation Services, Security Services, Facility Management Services, HR Human Resources, Outsourcing Services Skilled Unskilled Semi Skilled Worker Supply Labour Supply Outsourcing Services Manpower Requirement Agency Paramedical Staff Supply Civil and Electrical Services Manpower Supply Supervision Services Management Services Loading and Unloading Services Agriculture Services Gardening Services Maintenance Services
Certificate No-QCC/EC4A/0225
The Certificate will remain valid till 25-FEB-2028
The Second Surveillance Audit need to be conducted by or before: 25-JAN-2027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</si>
</sst>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mm/yyyy;@"/>
    <numFmt numFmtId="166" formatCode="dd/mm/yyyy;@"/>
  </numFmts>
  <fonts count="3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b/>
      <sz val="11"/>
      <color theme="1"/>
      <name val="Calibri"/>
      <family val="2"/>
      <scheme val="minor"/>
    </font>
    <font>
      <b/>
      <sz val="13"/>
      <color theme="1"/>
      <name val="Times New Roman"/>
      <family val="1"/>
    </font>
    <font>
      <b/>
      <sz val="10"/>
      <color theme="1"/>
      <name val="Times New Roman"/>
      <family val="1"/>
    </font>
    <font>
      <b/>
      <sz val="20"/>
      <color rgb="FF000000"/>
      <name val="Calibri"/>
      <family val="2"/>
      <scheme val="minor"/>
    </font>
    <font>
      <b/>
      <sz val="11"/>
      <color rgb="FF000000"/>
      <name val="Calibri"/>
      <family val="2"/>
      <scheme val="minor"/>
    </font>
    <font>
      <sz val="11"/>
      <color rgb="FF000000"/>
      <name val="Calibri"/>
      <family val="2"/>
      <scheme val="minor"/>
    </font>
    <font>
      <b/>
      <sz val="18"/>
      <color theme="1"/>
      <name val="Calibri"/>
      <family val="2"/>
      <scheme val="minor"/>
    </font>
    <font>
      <b/>
      <sz val="11"/>
      <name val="Calibri"/>
      <family val="2"/>
      <scheme val="minor"/>
    </font>
    <font>
      <sz val="11"/>
      <color theme="0"/>
      <name val="Calibri"/>
      <family val="2"/>
      <scheme val="minor"/>
    </font>
    <font>
      <b/>
      <sz val="26"/>
      <color theme="1"/>
      <name val="Calibri"/>
      <family val="2"/>
      <scheme val="minor"/>
    </font>
    <font>
      <b/>
      <sz val="10"/>
      <color theme="1"/>
      <name val="Calibri (Body)_x0000_"/>
      <charset val="134"/>
    </font>
    <font>
      <u/>
      <sz val="11"/>
      <color rgb="FF800080"/>
      <name val="Calibri"/>
      <family val="2"/>
      <scheme val="minor"/>
    </font>
    <font>
      <sz val="8"/>
      <color theme="1"/>
      <name val="Calibri"/>
      <family val="2"/>
      <scheme val="minor"/>
    </font>
    <font>
      <u/>
      <sz val="11"/>
      <color theme="10"/>
      <name val="Calibri"/>
      <family val="2"/>
      <scheme val="minor"/>
    </font>
    <font>
      <sz val="11"/>
      <name val="Calibri"/>
      <family val="2"/>
      <scheme val="minor"/>
    </font>
    <font>
      <b/>
      <sz val="11"/>
      <color theme="0"/>
      <name val="Calibri"/>
      <family val="2"/>
      <scheme val="minor"/>
    </font>
    <font>
      <sz val="12"/>
      <color theme="1"/>
      <name val="Calibri"/>
      <family val="2"/>
      <scheme val="minor"/>
    </font>
    <font>
      <b/>
      <sz val="14"/>
      <color theme="1"/>
      <name val="Calibri"/>
      <family val="2"/>
      <scheme val="minor"/>
    </font>
    <font>
      <b/>
      <sz val="10"/>
      <color theme="1"/>
      <name val="Arial"/>
      <family val="2"/>
    </font>
    <font>
      <sz val="14"/>
      <color theme="1"/>
      <name val="Calibri"/>
      <family val="2"/>
      <scheme val="minor"/>
    </font>
    <font>
      <b/>
      <sz val="14"/>
      <color rgb="FF000000"/>
      <name val="Calibri"/>
      <family val="2"/>
      <scheme val="minor"/>
    </font>
    <font>
      <b/>
      <sz val="11"/>
      <color rgb="FF000000"/>
      <name val="Calibri"/>
      <family val="2"/>
    </font>
    <font>
      <sz val="10"/>
      <color rgb="FF000000"/>
      <name val="Calibri"/>
      <family val="2"/>
    </font>
    <font>
      <b/>
      <sz val="10"/>
      <color rgb="FF000000"/>
      <name val="Calibri"/>
      <family val="2"/>
    </font>
    <font>
      <sz val="11"/>
      <color rgb="FFFF0000"/>
      <name val="Calibri"/>
      <family val="2"/>
      <scheme val="minor"/>
    </font>
    <font>
      <b/>
      <sz val="10"/>
      <color theme="1"/>
      <name val="Calibri"/>
      <family val="2"/>
      <scheme val="minor"/>
    </font>
    <font>
      <b/>
      <sz val="11"/>
      <color theme="2"/>
      <name val="Calibri"/>
      <family val="2"/>
      <scheme val="minor"/>
    </font>
    <font>
      <b/>
      <u/>
      <sz val="11"/>
      <color theme="1"/>
      <name val="Calibri"/>
      <family val="2"/>
      <scheme val="minor"/>
    </font>
    <font>
      <sz val="8"/>
      <color rgb="FF000000"/>
      <name val="Segoe UI"/>
      <family val="2"/>
    </font>
    <font>
      <sz val="9"/>
      <name val="Tahoma"/>
      <family val="2"/>
    </font>
  </fonts>
  <fills count="20">
    <fill>
      <patternFill patternType="none"/>
    </fill>
    <fill>
      <patternFill patternType="gray125"/>
    </fill>
    <fill>
      <patternFill patternType="solid">
        <fgColor rgb="FF00B0F0"/>
        <bgColor indexed="64"/>
      </patternFill>
    </fill>
    <fill>
      <patternFill patternType="solid">
        <fgColor theme="9" tint="0.79995117038483843"/>
        <bgColor indexed="64"/>
      </patternFill>
    </fill>
    <fill>
      <patternFill patternType="solid">
        <fgColor theme="4" tint="0.39994506668294322"/>
        <bgColor indexed="64"/>
      </patternFill>
    </fill>
    <fill>
      <patternFill patternType="solid">
        <fgColor theme="6" tint="0.79995117038483843"/>
        <bgColor indexed="64"/>
      </patternFill>
    </fill>
    <fill>
      <patternFill patternType="solid">
        <fgColor theme="8" tint="0.59999389629810485"/>
        <bgColor indexed="64"/>
      </patternFill>
    </fill>
    <fill>
      <patternFill patternType="solid">
        <fgColor theme="4"/>
        <bgColor indexed="64"/>
      </patternFill>
    </fill>
    <fill>
      <patternFill patternType="solid">
        <fgColor theme="0" tint="-0.14996795556505021"/>
        <bgColor indexed="64"/>
      </patternFill>
    </fill>
    <fill>
      <patternFill patternType="solid">
        <fgColor theme="7" tint="0.79995117038483843"/>
        <bgColor indexed="64"/>
      </patternFill>
    </fill>
    <fill>
      <patternFill patternType="solid">
        <fgColor theme="4" tint="0.79995117038483843"/>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0"/>
        <bgColor indexed="64"/>
      </patternFill>
    </fill>
    <fill>
      <patternFill patternType="solid">
        <fgColor theme="3" tint="0.59999389629810485"/>
        <bgColor indexed="64"/>
      </patternFill>
    </fill>
    <fill>
      <patternFill patternType="solid">
        <fgColor theme="5" tint="0.79995117038483843"/>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8" tint="0.79995117038483843"/>
        <bgColor indexed="64"/>
      </patternFill>
    </fill>
    <fill>
      <patternFill patternType="solid">
        <fgColor theme="9" tint="0.79998168889431442"/>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0" fillId="0" borderId="0" applyNumberFormat="0" applyFill="0" applyBorder="0" applyAlignment="0" applyProtection="0"/>
  </cellStyleXfs>
  <cellXfs count="428">
    <xf numFmtId="0" fontId="0" fillId="0" borderId="0" xfId="0"/>
    <xf numFmtId="0" fontId="0" fillId="0" borderId="0" xfId="0" applyAlignment="1">
      <alignment horizontal="left" vertical="center"/>
    </xf>
    <xf numFmtId="0" fontId="11" fillId="3" borderId="13" xfId="0" applyFont="1" applyFill="1" applyBorder="1" applyAlignment="1">
      <alignment horizontal="left" vertical="center" wrapText="1"/>
    </xf>
    <xf numFmtId="0" fontId="11" fillId="5" borderId="13" xfId="0" applyFont="1" applyFill="1" applyBorder="1" applyAlignment="1">
      <alignment horizontal="left" vertical="center" wrapText="1"/>
    </xf>
    <xf numFmtId="0" fontId="11" fillId="5" borderId="1" xfId="0" applyFont="1" applyFill="1" applyBorder="1" applyAlignment="1">
      <alignment horizontal="left" vertical="center" wrapText="1"/>
    </xf>
    <xf numFmtId="0" fontId="7" fillId="6" borderId="13" xfId="0" applyFont="1" applyFill="1" applyBorder="1" applyAlignment="1">
      <alignment horizontal="left" vertical="center"/>
    </xf>
    <xf numFmtId="0" fontId="7" fillId="6" borderId="1" xfId="0" applyFont="1" applyFill="1" applyBorder="1" applyAlignment="1">
      <alignment horizontal="left" vertical="center"/>
    </xf>
    <xf numFmtId="0" fontId="0" fillId="0" borderId="0" xfId="0" applyAlignment="1">
      <alignment horizontal="left" vertical="center" wrapText="1"/>
    </xf>
    <xf numFmtId="0" fontId="7" fillId="8" borderId="15" xfId="0" applyFont="1" applyFill="1" applyBorder="1" applyAlignment="1">
      <alignment horizontal="left" vertical="center"/>
    </xf>
    <xf numFmtId="0" fontId="7" fillId="8" borderId="23" xfId="0" applyFont="1" applyFill="1" applyBorder="1" applyAlignment="1">
      <alignment horizontal="left" vertical="center"/>
    </xf>
    <xf numFmtId="14" fontId="7" fillId="3" borderId="1" xfId="0" applyNumberFormat="1"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5" fillId="13" borderId="0" xfId="0" applyFont="1" applyFill="1" applyAlignment="1">
      <alignment horizontal="left" vertical="center"/>
    </xf>
    <xf numFmtId="0" fontId="15" fillId="0" borderId="0" xfId="0" applyFont="1" applyAlignment="1">
      <alignment horizontal="left" vertical="center"/>
    </xf>
    <xf numFmtId="0" fontId="7" fillId="14"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14" fontId="0" fillId="2" borderId="1" xfId="0" applyNumberFormat="1" applyFill="1" applyBorder="1" applyAlignment="1">
      <alignment horizontal="left" vertical="center" wrapText="1"/>
    </xf>
    <xf numFmtId="0" fontId="7" fillId="8" borderId="13" xfId="0" applyFont="1" applyFill="1" applyBorder="1" applyAlignment="1">
      <alignment horizontal="left" vertical="center" wrapText="1"/>
    </xf>
    <xf numFmtId="49" fontId="7" fillId="8" borderId="13" xfId="0" applyNumberFormat="1" applyFont="1" applyFill="1" applyBorder="1" applyAlignment="1">
      <alignment horizontal="left" vertical="center" wrapText="1"/>
    </xf>
    <xf numFmtId="0" fontId="0" fillId="8" borderId="15" xfId="0" applyFill="1" applyBorder="1" applyAlignment="1">
      <alignment vertical="center" wrapText="1"/>
    </xf>
    <xf numFmtId="0" fontId="19" fillId="3" borderId="1" xfId="0" applyFont="1" applyFill="1" applyBorder="1" applyAlignment="1">
      <alignment horizontal="center" vertical="center" wrapText="1"/>
    </xf>
    <xf numFmtId="0" fontId="7" fillId="16" borderId="13" xfId="0" applyFont="1" applyFill="1" applyBorder="1" applyAlignment="1">
      <alignment horizontal="left" vertical="center" wrapText="1"/>
    </xf>
    <xf numFmtId="0" fontId="14" fillId="16" borderId="1" xfId="0" applyFont="1" applyFill="1" applyBorder="1" applyAlignment="1">
      <alignment vertical="center" wrapText="1"/>
    </xf>
    <xf numFmtId="0" fontId="0" fillId="8" borderId="13" xfId="0" applyFill="1" applyBorder="1" applyAlignment="1">
      <alignment horizontal="left" vertical="center" wrapText="1"/>
    </xf>
    <xf numFmtId="0" fontId="21" fillId="8" borderId="1" xfId="0" applyFont="1" applyFill="1" applyBorder="1" applyAlignment="1">
      <alignment vertical="center" wrapText="1"/>
    </xf>
    <xf numFmtId="0" fontId="7" fillId="2" borderId="13" xfId="0" applyFont="1" applyFill="1" applyBorder="1" applyAlignment="1">
      <alignment horizontal="left" vertical="center" wrapText="1"/>
    </xf>
    <xf numFmtId="49" fontId="7" fillId="4" borderId="13" xfId="0" applyNumberFormat="1" applyFont="1" applyFill="1" applyBorder="1" applyAlignment="1">
      <alignment horizontal="left" vertical="center" wrapText="1"/>
    </xf>
    <xf numFmtId="0" fontId="7" fillId="4" borderId="1" xfId="0" applyFont="1" applyFill="1" applyBorder="1" applyAlignment="1">
      <alignment horizontal="left" vertical="center" wrapText="1"/>
    </xf>
    <xf numFmtId="49" fontId="7" fillId="17" borderId="13" xfId="0" applyNumberFormat="1" applyFont="1" applyFill="1" applyBorder="1" applyAlignment="1">
      <alignment horizontal="left" vertical="top" wrapText="1"/>
    </xf>
    <xf numFmtId="0" fontId="7" fillId="17" borderId="1" xfId="0" applyFont="1" applyFill="1" applyBorder="1" applyAlignment="1">
      <alignment horizontal="left" vertical="top" wrapText="1"/>
    </xf>
    <xf numFmtId="0" fontId="7" fillId="17" borderId="1" xfId="0" applyFont="1" applyFill="1" applyBorder="1" applyAlignment="1">
      <alignment horizontal="center" vertical="center" wrapText="1"/>
    </xf>
    <xf numFmtId="0" fontId="20" fillId="0" borderId="26" xfId="1" applyBorder="1" applyAlignment="1">
      <alignment horizontal="left" vertical="center"/>
    </xf>
    <xf numFmtId="0" fontId="0" fillId="0" borderId="27" xfId="0" applyBorder="1" applyAlignment="1">
      <alignment horizontal="left" vertical="center" wrapText="1"/>
    </xf>
    <xf numFmtId="0" fontId="0" fillId="8" borderId="23" xfId="0" applyFill="1" applyBorder="1" applyAlignment="1">
      <alignment vertical="center" wrapText="1"/>
    </xf>
    <xf numFmtId="0" fontId="7" fillId="15" borderId="23" xfId="0" applyFont="1" applyFill="1" applyBorder="1" applyAlignment="1">
      <alignment horizontal="left" vertical="center" wrapText="1"/>
    </xf>
    <xf numFmtId="0" fontId="14" fillId="16" borderId="14" xfId="0" applyFont="1" applyFill="1" applyBorder="1" applyAlignment="1">
      <alignment vertical="center" wrapText="1"/>
    </xf>
    <xf numFmtId="0" fontId="14" fillId="16" borderId="15" xfId="0" applyFont="1" applyFill="1" applyBorder="1" applyAlignment="1">
      <alignment vertical="center" wrapText="1"/>
    </xf>
    <xf numFmtId="0" fontId="21" fillId="8" borderId="1" xfId="0" applyFont="1" applyFill="1" applyBorder="1" applyAlignment="1">
      <alignment horizontal="left" vertical="center" wrapText="1"/>
    </xf>
    <xf numFmtId="0" fontId="21" fillId="8" borderId="14" xfId="0" applyFont="1" applyFill="1" applyBorder="1" applyAlignment="1">
      <alignment vertical="center" wrapText="1"/>
    </xf>
    <xf numFmtId="0" fontId="21" fillId="8" borderId="15" xfId="0" applyFont="1" applyFill="1" applyBorder="1" applyAlignment="1">
      <alignment vertical="center" wrapText="1"/>
    </xf>
    <xf numFmtId="0" fontId="22" fillId="13" borderId="16"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14" fillId="18" borderId="19" xfId="0" applyFont="1" applyFill="1" applyBorder="1" applyAlignment="1">
      <alignment horizontal="left" vertical="center" wrapText="1"/>
    </xf>
    <xf numFmtId="0" fontId="14" fillId="18" borderId="0" xfId="0" applyFont="1" applyFill="1" applyAlignment="1">
      <alignment horizontal="left" vertical="center" wrapText="1"/>
    </xf>
    <xf numFmtId="0" fontId="0" fillId="0" borderId="27" xfId="0" applyBorder="1" applyAlignment="1">
      <alignment horizontal="left" vertical="center"/>
    </xf>
    <xf numFmtId="0" fontId="23" fillId="0" borderId="0" xfId="0" applyFont="1" applyAlignment="1">
      <alignment horizontal="left"/>
    </xf>
    <xf numFmtId="0" fontId="23" fillId="3" borderId="1" xfId="0" applyFont="1" applyFill="1" applyBorder="1" applyAlignment="1" applyProtection="1">
      <alignment horizontal="center" vertical="center"/>
      <protection locked="0"/>
    </xf>
    <xf numFmtId="0" fontId="23" fillId="19" borderId="1" xfId="0" applyFont="1" applyFill="1" applyBorder="1" applyProtection="1">
      <protection locked="0"/>
    </xf>
    <xf numFmtId="0" fontId="0" fillId="3" borderId="1" xfId="0" applyFill="1" applyBorder="1" applyAlignment="1" applyProtection="1">
      <alignment horizontal="left" vertical="center"/>
      <protection locked="0"/>
    </xf>
    <xf numFmtId="0" fontId="20" fillId="0" borderId="0" xfId="1" applyAlignment="1">
      <alignment horizontal="left" vertical="center"/>
    </xf>
    <xf numFmtId="166" fontId="0" fillId="3" borderId="15" xfId="0" applyNumberFormat="1" applyFill="1" applyBorder="1" applyAlignment="1">
      <alignment horizontal="left" vertical="center" wrapText="1"/>
    </xf>
    <xf numFmtId="0" fontId="25" fillId="0" borderId="0" xfId="0" applyFont="1"/>
    <xf numFmtId="0" fontId="7" fillId="10" borderId="1" xfId="0" applyFont="1" applyFill="1" applyBorder="1" applyAlignment="1">
      <alignment horizontal="left" vertical="center" wrapText="1"/>
    </xf>
    <xf numFmtId="0" fontId="12" fillId="10" borderId="15" xfId="0" applyFont="1" applyFill="1" applyBorder="1" applyAlignment="1">
      <alignment horizontal="left" vertical="center" wrapText="1"/>
    </xf>
    <xf numFmtId="0" fontId="12" fillId="10" borderId="3" xfId="0" applyFont="1" applyFill="1" applyBorder="1" applyAlignment="1">
      <alignment horizontal="left" vertical="center" wrapText="1"/>
    </xf>
    <xf numFmtId="49" fontId="7" fillId="10" borderId="1" xfId="0" applyNumberFormat="1" applyFont="1" applyFill="1" applyBorder="1" applyAlignment="1">
      <alignment horizontal="left" vertical="center" wrapText="1"/>
    </xf>
    <xf numFmtId="2" fontId="7" fillId="10" borderId="1" xfId="0" applyNumberFormat="1" applyFont="1" applyFill="1" applyBorder="1" applyAlignment="1">
      <alignment horizontal="left" vertical="center" wrapText="1"/>
    </xf>
    <xf numFmtId="0" fontId="12" fillId="10" borderId="23" xfId="0" applyFont="1" applyFill="1" applyBorder="1" applyAlignment="1">
      <alignment horizontal="left" vertical="center" wrapText="1"/>
    </xf>
    <xf numFmtId="0" fontId="0" fillId="0" borderId="0" xfId="0" applyAlignment="1">
      <alignment horizontal="center" vertical="center"/>
    </xf>
    <xf numFmtId="0" fontId="11" fillId="17" borderId="1" xfId="0" applyFont="1" applyFill="1" applyBorder="1" applyAlignment="1">
      <alignment horizontal="center" vertical="center" wrapText="1"/>
    </xf>
    <xf numFmtId="0" fontId="11" fillId="17" borderId="1" xfId="0" applyFont="1" applyFill="1" applyBorder="1" applyAlignment="1">
      <alignment horizontal="left" vertical="center" wrapText="1"/>
    </xf>
    <xf numFmtId="0" fontId="11" fillId="3" borderId="14" xfId="0" applyFont="1" applyFill="1" applyBorder="1" applyAlignment="1">
      <alignment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vertical="center" wrapText="1"/>
    </xf>
    <xf numFmtId="0" fontId="11" fillId="3" borderId="15" xfId="0" applyFont="1" applyFill="1" applyBorder="1" applyAlignment="1">
      <alignment vertical="center" wrapText="1"/>
    </xf>
    <xf numFmtId="0" fontId="11" fillId="3" borderId="15" xfId="0" applyFont="1" applyFill="1" applyBorder="1" applyAlignment="1">
      <alignment horizontal="left" vertical="center" wrapText="1"/>
    </xf>
    <xf numFmtId="0" fontId="20" fillId="0" borderId="0" xfId="1" applyAlignment="1">
      <alignment horizontal="center" vertical="center"/>
    </xf>
    <xf numFmtId="2" fontId="33" fillId="3" borderId="23" xfId="0" applyNumberFormat="1" applyFont="1" applyFill="1" applyBorder="1" applyAlignment="1">
      <alignment vertical="center" wrapText="1"/>
    </xf>
    <xf numFmtId="0" fontId="11" fillId="3" borderId="23" xfId="0" applyFont="1" applyFill="1" applyBorder="1" applyAlignment="1">
      <alignment horizontal="left" vertical="center" wrapText="1"/>
    </xf>
    <xf numFmtId="0" fontId="21" fillId="0" borderId="0" xfId="0" applyFont="1" applyAlignment="1">
      <alignment horizontal="center" vertical="center"/>
    </xf>
    <xf numFmtId="0" fontId="19" fillId="3" borderId="1" xfId="0" applyFont="1" applyFill="1" applyBorder="1" applyAlignment="1">
      <alignment horizontal="center" vertical="center" wrapText="1"/>
    </xf>
    <xf numFmtId="0" fontId="23" fillId="3" borderId="1" xfId="0" applyFont="1" applyFill="1" applyBorder="1" applyAlignment="1" applyProtection="1">
      <alignment horizontal="center" vertical="center"/>
      <protection locked="0"/>
    </xf>
    <xf numFmtId="0" fontId="19" fillId="3" borderId="1" xfId="0" applyFont="1" applyFill="1" applyBorder="1" applyAlignment="1">
      <alignment horizontal="center" vertical="center" wrapText="1"/>
    </xf>
    <xf numFmtId="0" fontId="23" fillId="3" borderId="1" xfId="0" applyFont="1" applyFill="1" applyBorder="1" applyAlignment="1" applyProtection="1">
      <alignment horizontal="center" vertical="center"/>
      <protection locked="0"/>
    </xf>
    <xf numFmtId="0" fontId="23" fillId="3" borderId="1" xfId="0" applyFont="1" applyFill="1" applyBorder="1" applyAlignment="1" applyProtection="1">
      <alignment horizontal="center" vertical="center"/>
      <protection locked="0"/>
    </xf>
    <xf numFmtId="0" fontId="27" fillId="2" borderId="1" xfId="0" applyFont="1" applyFill="1" applyBorder="1" applyAlignment="1">
      <alignment horizontal="center" vertical="center" wrapText="1"/>
    </xf>
    <xf numFmtId="0" fontId="28" fillId="3" borderId="14" xfId="0" applyFont="1" applyFill="1" applyBorder="1" applyAlignment="1">
      <alignment horizontal="center" vertical="center" wrapText="1"/>
    </xf>
    <xf numFmtId="0" fontId="28" fillId="3" borderId="15" xfId="0" applyFont="1" applyFill="1" applyBorder="1" applyAlignment="1">
      <alignment horizontal="center" vertical="center" wrapText="1"/>
    </xf>
    <xf numFmtId="0" fontId="28" fillId="3" borderId="23" xfId="0" applyFont="1" applyFill="1" applyBorder="1" applyAlignment="1">
      <alignment horizontal="center" vertical="center" wrapText="1"/>
    </xf>
    <xf numFmtId="0" fontId="29" fillId="3" borderId="1" xfId="0" applyFont="1" applyFill="1" applyBorder="1" applyAlignment="1" applyProtection="1">
      <alignment horizontal="center" vertical="top" wrapText="1"/>
      <protection locked="0"/>
    </xf>
    <xf numFmtId="49" fontId="29" fillId="3" borderId="1" xfId="0" applyNumberFormat="1" applyFont="1" applyFill="1" applyBorder="1" applyAlignment="1" applyProtection="1">
      <alignment horizontal="left" vertical="center" wrapText="1"/>
      <protection locked="0"/>
    </xf>
    <xf numFmtId="0" fontId="30" fillId="0" borderId="1" xfId="0" applyFont="1" applyBorder="1" applyAlignment="1">
      <alignment horizontal="center" vertical="center" wrapText="1"/>
    </xf>
    <xf numFmtId="0" fontId="20" fillId="3" borderId="1" xfId="1" applyFill="1" applyBorder="1" applyAlignment="1" applyProtection="1">
      <alignment horizontal="left" vertical="center" wrapText="1"/>
      <protection locked="0"/>
    </xf>
    <xf numFmtId="0" fontId="29" fillId="3" borderId="1" xfId="0" applyFont="1" applyFill="1" applyBorder="1" applyAlignment="1" applyProtection="1">
      <alignment horizontal="left" vertical="center" wrapText="1"/>
      <protection locked="0"/>
    </xf>
    <xf numFmtId="0" fontId="12" fillId="6" borderId="2" xfId="0" applyFont="1" applyFill="1" applyBorder="1" applyAlignment="1">
      <alignment horizontal="center" vertical="center" wrapText="1"/>
    </xf>
    <xf numFmtId="0" fontId="12" fillId="6" borderId="7" xfId="0" applyFont="1" applyFill="1" applyBorder="1" applyAlignment="1">
      <alignment horizontal="center" vertical="center" wrapText="1"/>
    </xf>
    <xf numFmtId="0" fontId="31" fillId="6" borderId="1" xfId="0" applyFont="1" applyFill="1" applyBorder="1" applyAlignment="1">
      <alignment horizontal="center" vertical="center" wrapText="1"/>
    </xf>
    <xf numFmtId="0" fontId="12" fillId="6" borderId="14" xfId="0" applyFont="1" applyFill="1" applyBorder="1" applyAlignment="1">
      <alignment horizontal="center" vertical="top"/>
    </xf>
    <xf numFmtId="0" fontId="12" fillId="6" borderId="15" xfId="0" applyFont="1" applyFill="1" applyBorder="1" applyAlignment="1">
      <alignment horizontal="center" vertical="top"/>
    </xf>
    <xf numFmtId="0" fontId="12" fillId="6" borderId="23" xfId="0" applyFont="1" applyFill="1" applyBorder="1" applyAlignment="1">
      <alignment horizontal="center" vertical="top"/>
    </xf>
    <xf numFmtId="0" fontId="12" fillId="6" borderId="5"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21" fillId="6" borderId="1" xfId="0" applyFont="1" applyFill="1" applyBorder="1" applyAlignment="1">
      <alignment horizontal="center" vertical="center" wrapText="1"/>
    </xf>
    <xf numFmtId="0" fontId="11" fillId="3" borderId="14" xfId="0" applyFont="1" applyFill="1" applyBorder="1" applyAlignment="1">
      <alignment horizontal="left" vertical="top" wrapText="1"/>
    </xf>
    <xf numFmtId="0" fontId="11" fillId="3" borderId="15" xfId="0" applyFont="1" applyFill="1" applyBorder="1" applyAlignment="1">
      <alignment horizontal="left" vertical="top" wrapText="1"/>
    </xf>
    <xf numFmtId="0" fontId="11" fillId="3" borderId="23" xfId="0" applyFont="1" applyFill="1" applyBorder="1" applyAlignment="1">
      <alignment horizontal="left" vertical="top" wrapText="1"/>
    </xf>
    <xf numFmtId="0" fontId="12" fillId="3" borderId="14" xfId="0" applyFont="1" applyFill="1" applyBorder="1" applyAlignment="1">
      <alignment horizontal="left" vertical="center" wrapText="1"/>
    </xf>
    <xf numFmtId="0" fontId="12" fillId="3" borderId="15" xfId="0" applyFont="1" applyFill="1" applyBorder="1" applyAlignment="1">
      <alignment horizontal="left" vertical="center" wrapText="1"/>
    </xf>
    <xf numFmtId="0" fontId="12" fillId="3" borderId="23" xfId="0" applyFont="1" applyFill="1" applyBorder="1" applyAlignment="1">
      <alignment horizontal="left" vertical="center" wrapText="1"/>
    </xf>
    <xf numFmtId="0" fontId="11" fillId="3" borderId="14"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32" fillId="2" borderId="14" xfId="0" applyFont="1" applyFill="1" applyBorder="1" applyAlignment="1">
      <alignment horizontal="left" vertical="top" wrapText="1"/>
    </xf>
    <xf numFmtId="0" fontId="32" fillId="2" borderId="15" xfId="0" applyFont="1" applyFill="1" applyBorder="1" applyAlignment="1">
      <alignment horizontal="left" vertical="top" wrapText="1"/>
    </xf>
    <xf numFmtId="0" fontId="32" fillId="2" borderId="23" xfId="0" applyFont="1" applyFill="1" applyBorder="1" applyAlignment="1">
      <alignment horizontal="left" vertical="top" wrapText="1"/>
    </xf>
    <xf numFmtId="0" fontId="11" fillId="6" borderId="28" xfId="0" applyFont="1" applyFill="1" applyBorder="1" applyAlignment="1">
      <alignment horizontal="center" vertical="center" wrapText="1"/>
    </xf>
    <xf numFmtId="0" fontId="11" fillId="6" borderId="29" xfId="0" applyFont="1" applyFill="1" applyBorder="1" applyAlignment="1">
      <alignment horizontal="center" vertical="center" wrapText="1"/>
    </xf>
    <xf numFmtId="0" fontId="11" fillId="3" borderId="14" xfId="0" applyFont="1" applyFill="1" applyBorder="1" applyAlignment="1">
      <alignment horizontal="left" vertical="center" wrapText="1"/>
    </xf>
    <xf numFmtId="0" fontId="11" fillId="3" borderId="15" xfId="0" applyFont="1" applyFill="1" applyBorder="1" applyAlignment="1">
      <alignment horizontal="left" vertical="center" wrapText="1"/>
    </xf>
    <xf numFmtId="0" fontId="11" fillId="3" borderId="23" xfId="0" applyFont="1" applyFill="1" applyBorder="1" applyAlignment="1">
      <alignment horizontal="left" vertical="center" wrapText="1"/>
    </xf>
    <xf numFmtId="14" fontId="11" fillId="3" borderId="14" xfId="0" applyNumberFormat="1" applyFont="1" applyFill="1" applyBorder="1" applyAlignment="1">
      <alignment horizontal="left" vertical="center" wrapText="1"/>
    </xf>
    <xf numFmtId="0" fontId="6" fillId="2" borderId="15" xfId="0" applyFont="1" applyFill="1" applyBorder="1" applyAlignment="1">
      <alignment horizontal="center" vertical="center"/>
    </xf>
    <xf numFmtId="0" fontId="11" fillId="3" borderId="1" xfId="0" applyFont="1" applyFill="1" applyBorder="1" applyAlignment="1">
      <alignment horizontal="center" vertical="center" wrapText="1"/>
    </xf>
    <xf numFmtId="2" fontId="11" fillId="3" borderId="14" xfId="0" applyNumberFormat="1" applyFont="1" applyFill="1" applyBorder="1" applyAlignment="1">
      <alignment horizontal="left" vertical="center" wrapText="1"/>
    </xf>
    <xf numFmtId="2" fontId="11" fillId="3" borderId="15" xfId="0" applyNumberFormat="1" applyFont="1" applyFill="1" applyBorder="1" applyAlignment="1">
      <alignment horizontal="left" vertical="center" wrapText="1"/>
    </xf>
    <xf numFmtId="2" fontId="11" fillId="3" borderId="23" xfId="0" applyNumberFormat="1" applyFont="1" applyFill="1" applyBorder="1" applyAlignment="1">
      <alignment horizontal="left" vertical="center" wrapText="1"/>
    </xf>
    <xf numFmtId="14" fontId="11" fillId="3" borderId="15" xfId="0" applyNumberFormat="1" applyFont="1" applyFill="1" applyBorder="1" applyAlignment="1">
      <alignment horizontal="left" vertical="center" wrapText="1"/>
    </xf>
    <xf numFmtId="0" fontId="24" fillId="4" borderId="6" xfId="0" applyFont="1" applyFill="1" applyBorder="1" applyAlignment="1">
      <alignment horizontal="center" vertical="center"/>
    </xf>
    <xf numFmtId="0" fontId="26" fillId="4" borderId="6" xfId="0" applyFont="1" applyFill="1" applyBorder="1" applyAlignment="1">
      <alignment horizontal="center" vertical="center"/>
    </xf>
    <xf numFmtId="0" fontId="7" fillId="10" borderId="1" xfId="0" applyFont="1" applyFill="1" applyBorder="1" applyAlignment="1">
      <alignment horizontal="left" vertical="center" wrapText="1"/>
    </xf>
    <xf numFmtId="0" fontId="0" fillId="10" borderId="1" xfId="0" applyFill="1" applyBorder="1" applyAlignment="1">
      <alignment horizontal="left" vertical="center" wrapText="1"/>
    </xf>
    <xf numFmtId="0" fontId="12" fillId="10" borderId="14" xfId="0" applyFont="1" applyFill="1" applyBorder="1" applyAlignment="1">
      <alignment horizontal="left" vertical="center" wrapText="1"/>
    </xf>
    <xf numFmtId="0" fontId="12" fillId="10" borderId="15" xfId="0" applyFont="1" applyFill="1" applyBorder="1" applyAlignment="1">
      <alignment horizontal="left" vertical="center" wrapText="1"/>
    </xf>
    <xf numFmtId="0" fontId="12" fillId="10" borderId="23" xfId="0" applyFont="1" applyFill="1" applyBorder="1" applyAlignment="1">
      <alignment horizontal="left" vertical="center" wrapText="1"/>
    </xf>
    <xf numFmtId="0" fontId="7" fillId="10" borderId="14" xfId="0" applyFont="1" applyFill="1" applyBorder="1" applyAlignment="1">
      <alignment horizontal="left" vertical="center" wrapText="1"/>
    </xf>
    <xf numFmtId="0" fontId="7" fillId="10" borderId="23" xfId="0" applyFont="1" applyFill="1" applyBorder="1" applyAlignment="1">
      <alignment horizontal="left" vertical="center" wrapText="1"/>
    </xf>
    <xf numFmtId="164" fontId="12" fillId="10" borderId="2" xfId="0" applyNumberFormat="1" applyFont="1" applyFill="1" applyBorder="1" applyAlignment="1">
      <alignment horizontal="left" vertical="center" wrapText="1"/>
    </xf>
    <xf numFmtId="164" fontId="12" fillId="10" borderId="3" xfId="0" applyNumberFormat="1" applyFont="1" applyFill="1" applyBorder="1" applyAlignment="1">
      <alignment horizontal="left" vertical="center" wrapText="1"/>
    </xf>
    <xf numFmtId="0" fontId="7" fillId="10" borderId="15" xfId="0" applyFont="1" applyFill="1" applyBorder="1" applyAlignment="1">
      <alignment horizontal="left" vertical="center" wrapText="1"/>
    </xf>
    <xf numFmtId="165" fontId="12" fillId="10" borderId="1" xfId="0" applyNumberFormat="1" applyFont="1" applyFill="1" applyBorder="1" applyAlignment="1">
      <alignment horizontal="left" vertical="center" wrapText="1"/>
    </xf>
    <xf numFmtId="0" fontId="0" fillId="10" borderId="14" xfId="0" applyFill="1" applyBorder="1" applyAlignment="1">
      <alignment horizontal="center" vertical="center" wrapText="1"/>
    </xf>
    <xf numFmtId="0" fontId="0" fillId="10" borderId="23" xfId="0" applyFill="1" applyBorder="1" applyAlignment="1">
      <alignment horizontal="center" vertical="center" wrapText="1"/>
    </xf>
    <xf numFmtId="0" fontId="0" fillId="10" borderId="15" xfId="0" applyFill="1" applyBorder="1" applyAlignment="1">
      <alignment horizontal="center" vertical="center" wrapText="1"/>
    </xf>
    <xf numFmtId="0" fontId="0" fillId="10" borderId="14" xfId="0" applyFill="1" applyBorder="1" applyAlignment="1">
      <alignment horizontal="left" vertical="center" wrapText="1"/>
    </xf>
    <xf numFmtId="0" fontId="0" fillId="10" borderId="15" xfId="0" applyFill="1" applyBorder="1" applyAlignment="1">
      <alignment horizontal="left" vertical="center" wrapText="1"/>
    </xf>
    <xf numFmtId="0" fontId="0" fillId="10" borderId="23" xfId="0" applyFill="1" applyBorder="1" applyAlignment="1">
      <alignment horizontal="left" vertical="center" wrapText="1"/>
    </xf>
    <xf numFmtId="0" fontId="14" fillId="15" borderId="1" xfId="0" applyFont="1" applyFill="1" applyBorder="1" applyAlignment="1">
      <alignment horizontal="left" vertical="center" wrapText="1"/>
    </xf>
    <xf numFmtId="0" fontId="0" fillId="3" borderId="3" xfId="0" applyFill="1" applyBorder="1" applyAlignment="1">
      <alignment horizontal="left" vertical="center"/>
    </xf>
    <xf numFmtId="0" fontId="0" fillId="3" borderId="7" xfId="0" applyFill="1" applyBorder="1" applyAlignment="1">
      <alignment horizontal="left" vertical="center"/>
    </xf>
    <xf numFmtId="0" fontId="0" fillId="3" borderId="14" xfId="0" applyFill="1" applyBorder="1" applyAlignment="1">
      <alignment horizontal="left" vertical="center" wrapText="1"/>
    </xf>
    <xf numFmtId="0" fontId="0" fillId="3" borderId="15" xfId="0" applyFill="1" applyBorder="1" applyAlignment="1">
      <alignment horizontal="left" vertical="center" wrapText="1"/>
    </xf>
    <xf numFmtId="0" fontId="0" fillId="3" borderId="23" xfId="0" applyFill="1" applyBorder="1" applyAlignment="1">
      <alignment horizontal="left" vertical="center" wrapText="1"/>
    </xf>
    <xf numFmtId="0" fontId="20" fillId="3" borderId="1" xfId="1" applyFill="1" applyBorder="1" applyAlignment="1">
      <alignment horizontal="center" vertical="center" wrapText="1"/>
    </xf>
    <xf numFmtId="0" fontId="19" fillId="3" borderId="1" xfId="0" applyFont="1" applyFill="1" applyBorder="1" applyAlignment="1">
      <alignment horizontal="center" vertical="center" wrapText="1"/>
    </xf>
    <xf numFmtId="2" fontId="19" fillId="3" borderId="14" xfId="0" applyNumberFormat="1" applyFont="1" applyFill="1" applyBorder="1" applyAlignment="1">
      <alignment horizontal="center" vertical="center" wrapText="1"/>
    </xf>
    <xf numFmtId="2" fontId="19" fillId="3" borderId="23" xfId="0" applyNumberFormat="1" applyFont="1" applyFill="1" applyBorder="1" applyAlignment="1">
      <alignment horizontal="center" vertical="center" wrapText="1"/>
    </xf>
    <xf numFmtId="0" fontId="3" fillId="3" borderId="3" xfId="0" applyFont="1" applyFill="1" applyBorder="1" applyAlignment="1">
      <alignment horizontal="left" vertical="center"/>
    </xf>
    <xf numFmtId="0" fontId="3" fillId="3" borderId="14" xfId="0" applyFont="1" applyFill="1" applyBorder="1" applyAlignment="1">
      <alignment horizontal="left" vertical="center" wrapText="1"/>
    </xf>
    <xf numFmtId="0" fontId="19" fillId="3" borderId="14" xfId="0" applyFont="1" applyFill="1" applyBorder="1" applyAlignment="1">
      <alignment horizontal="center" vertical="center" wrapText="1"/>
    </xf>
    <xf numFmtId="0" fontId="19" fillId="3" borderId="23" xfId="0" applyFont="1" applyFill="1" applyBorder="1" applyAlignment="1">
      <alignment horizontal="center" vertical="center" wrapText="1"/>
    </xf>
    <xf numFmtId="0" fontId="7" fillId="3" borderId="14" xfId="0" applyFont="1" applyFill="1" applyBorder="1" applyAlignment="1">
      <alignment horizontal="left" vertical="center" wrapText="1"/>
    </xf>
    <xf numFmtId="0" fontId="7" fillId="3" borderId="15" xfId="0" applyFont="1" applyFill="1" applyBorder="1" applyAlignment="1">
      <alignment horizontal="left" vertical="center" wrapText="1"/>
    </xf>
    <xf numFmtId="0" fontId="7" fillId="3" borderId="23" xfId="0" applyFont="1" applyFill="1" applyBorder="1" applyAlignment="1">
      <alignment horizontal="left" vertical="center" wrapText="1"/>
    </xf>
    <xf numFmtId="0" fontId="0" fillId="6" borderId="14" xfId="0" applyFill="1" applyBorder="1" applyAlignment="1">
      <alignment horizontal="left" vertical="center" wrapText="1"/>
    </xf>
    <xf numFmtId="0" fontId="0" fillId="6" borderId="15" xfId="0" applyFill="1" applyBorder="1" applyAlignment="1">
      <alignment horizontal="left" vertical="center" wrapText="1"/>
    </xf>
    <xf numFmtId="0" fontId="0" fillId="6" borderId="23" xfId="0" applyFill="1" applyBorder="1" applyAlignment="1">
      <alignment horizontal="left" vertical="center" wrapText="1"/>
    </xf>
    <xf numFmtId="0" fontId="7" fillId="6" borderId="15" xfId="0" applyFont="1" applyFill="1" applyBorder="1" applyAlignment="1">
      <alignment horizontal="left" vertical="center" wrapText="1"/>
    </xf>
    <xf numFmtId="0" fontId="7" fillId="6" borderId="23" xfId="0" applyFont="1" applyFill="1" applyBorder="1" applyAlignment="1">
      <alignment horizontal="left" vertical="center" wrapText="1"/>
    </xf>
    <xf numFmtId="0" fontId="7" fillId="6" borderId="14"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0" fillId="3" borderId="1" xfId="0" applyFill="1" applyBorder="1" applyAlignment="1">
      <alignment horizontal="left" vertical="center" wrapText="1"/>
    </xf>
    <xf numFmtId="0" fontId="7" fillId="3" borderId="1"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23" xfId="0" applyFont="1" applyFill="1" applyBorder="1" applyAlignment="1">
      <alignment horizontal="center" vertical="center" wrapText="1"/>
    </xf>
    <xf numFmtId="49" fontId="21" fillId="3" borderId="14" xfId="0" applyNumberFormat="1" applyFont="1" applyFill="1" applyBorder="1" applyAlignment="1" applyProtection="1">
      <alignment horizontal="left" vertical="center" wrapText="1"/>
      <protection locked="0"/>
    </xf>
    <xf numFmtId="49" fontId="21" fillId="3" borderId="15" xfId="0" applyNumberFormat="1" applyFont="1" applyFill="1" applyBorder="1" applyAlignment="1" applyProtection="1">
      <alignment horizontal="left" vertical="center" wrapText="1"/>
      <protection locked="0"/>
    </xf>
    <xf numFmtId="49" fontId="21" fillId="3" borderId="23" xfId="0" applyNumberFormat="1" applyFont="1" applyFill="1" applyBorder="1" applyAlignment="1" applyProtection="1">
      <alignment horizontal="left" vertical="center" wrapText="1"/>
      <protection locked="0"/>
    </xf>
    <xf numFmtId="49" fontId="0" fillId="3" borderId="14" xfId="0" applyNumberFormat="1" applyFill="1" applyBorder="1" applyAlignment="1" applyProtection="1">
      <alignment horizontal="left" vertical="center" wrapText="1"/>
      <protection locked="0"/>
    </xf>
    <xf numFmtId="49" fontId="0" fillId="3" borderId="23" xfId="0" applyNumberForma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9" fontId="21" fillId="3" borderId="15" xfId="0" applyNumberFormat="1" applyFont="1" applyFill="1" applyBorder="1" applyAlignment="1" applyProtection="1">
      <alignment horizontal="center" vertical="center" wrapText="1"/>
      <protection locked="0"/>
    </xf>
    <xf numFmtId="49" fontId="21" fillId="3" borderId="23" xfId="0" applyNumberFormat="1" applyFont="1" applyFill="1" applyBorder="1" applyAlignment="1" applyProtection="1">
      <alignment horizontal="center" vertical="center" wrapText="1"/>
      <protection locked="0"/>
    </xf>
    <xf numFmtId="49" fontId="0" fillId="3" borderId="1" xfId="0" applyNumberFormat="1" applyFill="1" applyBorder="1" applyAlignment="1" applyProtection="1">
      <alignment horizontal="left" vertical="center" wrapText="1"/>
      <protection locked="0"/>
    </xf>
    <xf numFmtId="49" fontId="21" fillId="3" borderId="29" xfId="0" applyNumberFormat="1" applyFont="1" applyFill="1" applyBorder="1" applyAlignment="1" applyProtection="1">
      <alignment horizontal="left" vertical="center" wrapText="1"/>
      <protection locked="0"/>
    </xf>
    <xf numFmtId="0" fontId="7" fillId="2" borderId="3" xfId="0" applyFont="1" applyFill="1" applyBorder="1" applyAlignment="1">
      <alignment horizontal="left" vertical="center"/>
    </xf>
    <xf numFmtId="0" fontId="17" fillId="3" borderId="1" xfId="0" applyFont="1" applyFill="1" applyBorder="1" applyAlignment="1">
      <alignment horizontal="center" vertical="center" wrapText="1"/>
    </xf>
    <xf numFmtId="0" fontId="7" fillId="15" borderId="2" xfId="0" applyFont="1" applyFill="1" applyBorder="1" applyAlignment="1">
      <alignment horizontal="left" vertical="center" wrapText="1"/>
    </xf>
    <xf numFmtId="0" fontId="7" fillId="15" borderId="7" xfId="0" applyFont="1" applyFill="1" applyBorder="1" applyAlignment="1">
      <alignment horizontal="left" vertical="center" wrapText="1"/>
    </xf>
    <xf numFmtId="0" fontId="7" fillId="15" borderId="5" xfId="0" applyFont="1" applyFill="1" applyBorder="1" applyAlignment="1">
      <alignment horizontal="left" vertical="center" wrapText="1"/>
    </xf>
    <xf numFmtId="0" fontId="7" fillId="15" borderId="9" xfId="0" applyFont="1" applyFill="1" applyBorder="1" applyAlignment="1">
      <alignment horizontal="left" vertical="center" wrapText="1"/>
    </xf>
    <xf numFmtId="0" fontId="7" fillId="15" borderId="3" xfId="0" applyFont="1" applyFill="1" applyBorder="1" applyAlignment="1">
      <alignment horizontal="left" vertical="center" wrapText="1"/>
    </xf>
    <xf numFmtId="0" fontId="7" fillId="15" borderId="6" xfId="0" applyFont="1" applyFill="1" applyBorder="1" applyAlignment="1">
      <alignment horizontal="left" vertical="center" wrapText="1"/>
    </xf>
    <xf numFmtId="0" fontId="24" fillId="2" borderId="14" xfId="0" applyFont="1" applyFill="1" applyBorder="1" applyAlignment="1">
      <alignment horizontal="center" vertical="center" wrapText="1"/>
    </xf>
    <xf numFmtId="0" fontId="24" fillId="2" borderId="15"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7" xfId="0" applyFont="1" applyFill="1" applyBorder="1" applyAlignment="1">
      <alignment horizontal="center" vertical="center" wrapText="1"/>
    </xf>
    <xf numFmtId="165" fontId="7" fillId="3" borderId="14" xfId="0" applyNumberFormat="1" applyFont="1" applyFill="1" applyBorder="1" applyAlignment="1">
      <alignment horizontal="left" vertical="center" wrapText="1"/>
    </xf>
    <xf numFmtId="165" fontId="7" fillId="3" borderId="15" xfId="0" applyNumberFormat="1" applyFont="1" applyFill="1" applyBorder="1" applyAlignment="1">
      <alignment horizontal="left" vertical="center" wrapText="1"/>
    </xf>
    <xf numFmtId="165" fontId="7" fillId="3" borderId="23" xfId="0" applyNumberFormat="1" applyFont="1" applyFill="1" applyBorder="1" applyAlignment="1">
      <alignment horizontal="left" vertical="center" wrapText="1"/>
    </xf>
    <xf numFmtId="165" fontId="0" fillId="3" borderId="5" xfId="0" applyNumberFormat="1" applyFill="1" applyBorder="1" applyAlignment="1">
      <alignment horizontal="left" vertical="center" wrapText="1"/>
    </xf>
    <xf numFmtId="165" fontId="0" fillId="3" borderId="6" xfId="0" applyNumberFormat="1" applyFill="1" applyBorder="1" applyAlignment="1">
      <alignment horizontal="left" vertical="center" wrapText="1"/>
    </xf>
    <xf numFmtId="165" fontId="0" fillId="3" borderId="15" xfId="0" applyNumberFormat="1" applyFill="1" applyBorder="1" applyAlignment="1">
      <alignment horizontal="left" vertical="center" wrapText="1"/>
    </xf>
    <xf numFmtId="165" fontId="0" fillId="3" borderId="9" xfId="0" applyNumberFormat="1" applyFill="1" applyBorder="1" applyAlignment="1">
      <alignment horizontal="left" vertical="center" wrapText="1"/>
    </xf>
    <xf numFmtId="166" fontId="0" fillId="3" borderId="1" xfId="0" applyNumberFormat="1" applyFill="1" applyBorder="1" applyAlignment="1">
      <alignment horizontal="left" vertical="center" wrapText="1"/>
    </xf>
    <xf numFmtId="0" fontId="7" fillId="18" borderId="1" xfId="0" applyFont="1" applyFill="1" applyBorder="1" applyAlignment="1">
      <alignment horizontal="left" vertical="center"/>
    </xf>
    <xf numFmtId="0" fontId="7" fillId="8" borderId="14" xfId="0" applyFont="1" applyFill="1" applyBorder="1" applyAlignment="1">
      <alignment horizontal="center" vertical="center" wrapText="1"/>
    </xf>
    <xf numFmtId="0" fontId="7" fillId="8" borderId="15" xfId="0" applyFont="1" applyFill="1" applyBorder="1" applyAlignment="1">
      <alignment horizontal="center" vertical="center" wrapText="1"/>
    </xf>
    <xf numFmtId="0" fontId="7" fillId="8" borderId="23" xfId="0" applyFont="1" applyFill="1" applyBorder="1" applyAlignment="1">
      <alignment horizontal="center" vertical="center" wrapText="1"/>
    </xf>
    <xf numFmtId="0" fontId="7" fillId="8" borderId="14" xfId="0" applyFont="1" applyFill="1" applyBorder="1" applyAlignment="1">
      <alignment horizontal="left" vertical="center" wrapText="1"/>
    </xf>
    <xf numFmtId="0" fontId="7" fillId="8" borderId="15" xfId="0" applyFont="1" applyFill="1" applyBorder="1" applyAlignment="1">
      <alignment horizontal="left" vertical="center"/>
    </xf>
    <xf numFmtId="0" fontId="7" fillId="8" borderId="23" xfId="0" applyFont="1" applyFill="1" applyBorder="1" applyAlignment="1">
      <alignment horizontal="left" vertical="center"/>
    </xf>
    <xf numFmtId="0" fontId="23" fillId="3" borderId="1" xfId="0" applyFont="1" applyFill="1" applyBorder="1" applyAlignment="1" applyProtection="1">
      <alignment horizontal="center" vertical="center"/>
      <protection locked="0"/>
    </xf>
    <xf numFmtId="0" fontId="7" fillId="8" borderId="28" xfId="0" applyFont="1" applyFill="1" applyBorder="1" applyAlignment="1">
      <alignment horizontal="left" vertical="center"/>
    </xf>
    <xf numFmtId="0" fontId="7" fillId="8" borderId="29" xfId="0" applyFont="1" applyFill="1" applyBorder="1" applyAlignment="1">
      <alignment horizontal="left" vertical="center"/>
    </xf>
    <xf numFmtId="0" fontId="7" fillId="8" borderId="2" xfId="0" applyFont="1" applyFill="1" applyBorder="1" applyAlignment="1">
      <alignment horizontal="left" vertical="center"/>
    </xf>
    <xf numFmtId="0" fontId="7" fillId="8" borderId="3" xfId="0" applyFont="1" applyFill="1" applyBorder="1" applyAlignment="1">
      <alignment horizontal="left" vertical="center"/>
    </xf>
    <xf numFmtId="0" fontId="7" fillId="8" borderId="7" xfId="0" applyFont="1" applyFill="1" applyBorder="1" applyAlignment="1">
      <alignment horizontal="left" vertical="center"/>
    </xf>
    <xf numFmtId="0" fontId="7" fillId="8" borderId="5" xfId="0" applyFont="1" applyFill="1" applyBorder="1" applyAlignment="1">
      <alignment horizontal="left" vertical="center"/>
    </xf>
    <xf numFmtId="0" fontId="7" fillId="8" borderId="6" xfId="0" applyFont="1" applyFill="1" applyBorder="1" applyAlignment="1">
      <alignment horizontal="left" vertical="center"/>
    </xf>
    <xf numFmtId="0" fontId="7" fillId="8" borderId="9" xfId="0" applyFont="1" applyFill="1" applyBorder="1" applyAlignment="1">
      <alignment horizontal="left" vertical="center"/>
    </xf>
    <xf numFmtId="0" fontId="23" fillId="3" borderId="1" xfId="0" applyFont="1" applyFill="1" applyBorder="1" applyAlignment="1" applyProtection="1">
      <alignment horizontal="center" vertical="center" wrapText="1"/>
      <protection locked="0"/>
    </xf>
    <xf numFmtId="0" fontId="23" fillId="3" borderId="14" xfId="0" applyFont="1" applyFill="1" applyBorder="1" applyAlignment="1" applyProtection="1">
      <alignment horizontal="center" vertical="center" wrapText="1"/>
      <protection locked="0"/>
    </xf>
    <xf numFmtId="0" fontId="23" fillId="3" borderId="15" xfId="0" applyFont="1" applyFill="1" applyBorder="1" applyAlignment="1" applyProtection="1">
      <alignment horizontal="center" vertical="center"/>
      <protection locked="0"/>
    </xf>
    <xf numFmtId="0" fontId="23" fillId="3" borderId="23" xfId="0" applyFont="1" applyFill="1" applyBorder="1" applyAlignment="1" applyProtection="1">
      <alignment horizontal="center" vertical="center"/>
      <protection locked="0"/>
    </xf>
    <xf numFmtId="0" fontId="23" fillId="3" borderId="15" xfId="0" applyFont="1" applyFill="1" applyBorder="1" applyAlignment="1" applyProtection="1">
      <alignment horizontal="center" vertical="center" wrapText="1"/>
      <protection locked="0"/>
    </xf>
    <xf numFmtId="0" fontId="23" fillId="3" borderId="23" xfId="0" applyFont="1" applyFill="1" applyBorder="1" applyAlignment="1" applyProtection="1">
      <alignment horizontal="center" vertical="center" wrapText="1"/>
      <protection locked="0"/>
    </xf>
    <xf numFmtId="0" fontId="23" fillId="3" borderId="14" xfId="0" applyFont="1" applyFill="1" applyBorder="1" applyAlignment="1" applyProtection="1">
      <alignment horizontal="center" vertical="center"/>
      <protection locked="0"/>
    </xf>
    <xf numFmtId="0" fontId="23" fillId="19" borderId="1" xfId="0" applyFont="1" applyFill="1" applyBorder="1" applyProtection="1">
      <protection locked="0"/>
    </xf>
    <xf numFmtId="0" fontId="0" fillId="3" borderId="1" xfId="0" applyFill="1" applyBorder="1" applyAlignment="1" applyProtection="1">
      <alignment horizontal="left" vertical="center"/>
      <protection locked="0"/>
    </xf>
    <xf numFmtId="0" fontId="7" fillId="2" borderId="1" xfId="0" applyFont="1" applyFill="1" applyBorder="1" applyAlignment="1">
      <alignment horizontal="left" vertical="center"/>
    </xf>
    <xf numFmtId="0" fontId="16" fillId="2" borderId="24" xfId="0" applyFont="1" applyFill="1" applyBorder="1" applyAlignment="1">
      <alignment horizontal="center" vertical="center"/>
    </xf>
    <xf numFmtId="0" fontId="16" fillId="2" borderId="25" xfId="0" applyFont="1" applyFill="1" applyBorder="1" applyAlignment="1">
      <alignment horizontal="center" vertical="center"/>
    </xf>
    <xf numFmtId="0" fontId="7" fillId="10" borderId="19" xfId="0" applyFont="1" applyFill="1" applyBorder="1" applyAlignment="1">
      <alignment horizontal="center" vertical="center" wrapText="1"/>
    </xf>
    <xf numFmtId="0" fontId="7" fillId="10" borderId="15" xfId="0" applyFont="1" applyFill="1" applyBorder="1" applyAlignment="1">
      <alignment horizontal="center" vertical="center" wrapText="1"/>
    </xf>
    <xf numFmtId="0" fontId="14" fillId="10" borderId="19" xfId="0" applyFont="1" applyFill="1" applyBorder="1" applyAlignment="1">
      <alignment horizontal="left" vertical="center" wrapText="1"/>
    </xf>
    <xf numFmtId="0" fontId="14" fillId="10" borderId="15" xfId="0" applyFont="1" applyFill="1" applyBorder="1" applyAlignment="1">
      <alignment horizontal="left" vertical="center" wrapText="1"/>
    </xf>
    <xf numFmtId="0" fontId="14" fillId="10" borderId="23" xfId="0" applyFont="1" applyFill="1" applyBorder="1" applyAlignment="1">
      <alignment horizontal="left" vertical="center" wrapText="1"/>
    </xf>
    <xf numFmtId="0" fontId="7" fillId="8" borderId="23" xfId="0" applyFont="1" applyFill="1" applyBorder="1" applyAlignment="1">
      <alignment horizontal="left" vertical="center" wrapText="1"/>
    </xf>
    <xf numFmtId="0" fontId="0" fillId="8" borderId="14" xfId="0" applyFill="1" applyBorder="1" applyAlignment="1">
      <alignment horizontal="left" vertical="center" wrapText="1"/>
    </xf>
    <xf numFmtId="0" fontId="0" fillId="8" borderId="15" xfId="0" applyFill="1" applyBorder="1" applyAlignment="1">
      <alignment horizontal="left" vertical="center" wrapText="1"/>
    </xf>
    <xf numFmtId="0" fontId="0" fillId="8" borderId="23" xfId="0" applyFill="1" applyBorder="1" applyAlignment="1">
      <alignment horizontal="left" vertical="center" wrapText="1"/>
    </xf>
    <xf numFmtId="0" fontId="7" fillId="8" borderId="15" xfId="0" applyFont="1" applyFill="1" applyBorder="1" applyAlignment="1">
      <alignment horizontal="left" vertical="center" wrapText="1"/>
    </xf>
    <xf numFmtId="0" fontId="20" fillId="8" borderId="14" xfId="1" applyFill="1" applyBorder="1" applyAlignment="1" applyProtection="1">
      <alignment horizontal="left" vertical="center" wrapText="1"/>
      <protection locked="0"/>
    </xf>
    <xf numFmtId="0" fontId="20" fillId="8" borderId="15" xfId="1" applyFill="1" applyBorder="1" applyAlignment="1" applyProtection="1">
      <alignment horizontal="left" vertical="center" wrapText="1"/>
      <protection locked="0"/>
    </xf>
    <xf numFmtId="0" fontId="20" fillId="8" borderId="23" xfId="1" applyFill="1" applyBorder="1" applyAlignment="1" applyProtection="1">
      <alignment horizontal="left" vertical="center" wrapText="1"/>
      <protection locked="0"/>
    </xf>
    <xf numFmtId="0" fontId="12" fillId="8" borderId="14" xfId="0" applyFont="1" applyFill="1" applyBorder="1" applyAlignment="1">
      <alignment horizontal="left" vertical="center" wrapText="1"/>
    </xf>
    <xf numFmtId="0" fontId="12" fillId="8" borderId="15" xfId="0" applyFont="1" applyFill="1" applyBorder="1" applyAlignment="1">
      <alignment horizontal="left" vertical="center" wrapText="1"/>
    </xf>
    <xf numFmtId="0" fontId="12" fillId="8" borderId="23" xfId="0" applyFont="1" applyFill="1" applyBorder="1" applyAlignment="1">
      <alignment horizontal="left" vertical="center" wrapText="1"/>
    </xf>
    <xf numFmtId="0" fontId="0" fillId="8" borderId="14" xfId="0" applyFill="1" applyBorder="1" applyAlignment="1" applyProtection="1">
      <alignment horizontal="left" vertical="center" wrapText="1"/>
      <protection locked="0"/>
    </xf>
    <xf numFmtId="0" fontId="0" fillId="8" borderId="15" xfId="0" applyFill="1" applyBorder="1" applyAlignment="1" applyProtection="1">
      <alignment horizontal="left" vertical="center" wrapText="1"/>
      <protection locked="0"/>
    </xf>
    <xf numFmtId="0" fontId="0" fillId="8" borderId="23" xfId="0" applyFill="1" applyBorder="1" applyAlignment="1" applyProtection="1">
      <alignment horizontal="left" vertical="center" wrapText="1"/>
      <protection locked="0"/>
    </xf>
    <xf numFmtId="164" fontId="0" fillId="8" borderId="14" xfId="0" applyNumberFormat="1" applyFill="1" applyBorder="1" applyAlignment="1">
      <alignment horizontal="center" vertical="center" wrapText="1"/>
    </xf>
    <xf numFmtId="164" fontId="0" fillId="8" borderId="15" xfId="0" applyNumberFormat="1" applyFill="1" applyBorder="1" applyAlignment="1">
      <alignment horizontal="center" vertical="center" wrapText="1"/>
    </xf>
    <xf numFmtId="164" fontId="0" fillId="8" borderId="15" xfId="0" applyNumberFormat="1" applyFill="1" applyBorder="1" applyAlignment="1">
      <alignment horizontal="left" vertical="center" wrapText="1"/>
    </xf>
    <xf numFmtId="0" fontId="14" fillId="6" borderId="19" xfId="0" applyFont="1" applyFill="1" applyBorder="1" applyAlignment="1">
      <alignment horizontal="left" vertical="center" wrapText="1"/>
    </xf>
    <xf numFmtId="0" fontId="14" fillId="6" borderId="15" xfId="0" applyFont="1" applyFill="1" applyBorder="1" applyAlignment="1">
      <alignment horizontal="left" vertical="center" wrapText="1"/>
    </xf>
    <xf numFmtId="0" fontId="14" fillId="6" borderId="23" xfId="0" applyFont="1" applyFill="1" applyBorder="1" applyAlignment="1">
      <alignment horizontal="left" vertical="center" wrapText="1"/>
    </xf>
    <xf numFmtId="0" fontId="18" fillId="3" borderId="1" xfId="1" applyFont="1" applyFill="1" applyBorder="1" applyAlignment="1">
      <alignment horizontal="center" vertical="center" wrapText="1"/>
    </xf>
    <xf numFmtId="0" fontId="0" fillId="6" borderId="19" xfId="0" applyFill="1" applyBorder="1" applyAlignment="1">
      <alignment horizontal="left" vertical="center" wrapText="1"/>
    </xf>
    <xf numFmtId="0" fontId="0" fillId="6" borderId="14" xfId="0" applyFill="1" applyBorder="1" applyAlignment="1" applyProtection="1">
      <alignment horizontal="left" vertical="center" wrapText="1"/>
      <protection locked="0"/>
    </xf>
    <xf numFmtId="0" fontId="0" fillId="6" borderId="15" xfId="0" applyFill="1" applyBorder="1" applyAlignment="1" applyProtection="1">
      <alignment horizontal="left" vertical="center" wrapText="1"/>
      <protection locked="0"/>
    </xf>
    <xf numFmtId="0" fontId="0" fillId="6" borderId="23" xfId="0" applyFill="1" applyBorder="1" applyAlignment="1" applyProtection="1">
      <alignment horizontal="left" vertical="center" wrapText="1"/>
      <protection locked="0"/>
    </xf>
    <xf numFmtId="0" fontId="7" fillId="6" borderId="19" xfId="0" applyFont="1" applyFill="1" applyBorder="1" applyAlignment="1">
      <alignment horizontal="left" vertical="center" wrapText="1"/>
    </xf>
    <xf numFmtId="0" fontId="14" fillId="6" borderId="14" xfId="0" applyFont="1" applyFill="1" applyBorder="1" applyAlignment="1" applyProtection="1">
      <alignment horizontal="left" vertical="center" wrapText="1"/>
      <protection locked="0"/>
    </xf>
    <xf numFmtId="0" fontId="14" fillId="6" borderId="23" xfId="0" applyFont="1" applyFill="1" applyBorder="1" applyAlignment="1" applyProtection="1">
      <alignment horizontal="left" vertical="center" wrapText="1"/>
      <protection locked="0"/>
    </xf>
    <xf numFmtId="0" fontId="0" fillId="2" borderId="19" xfId="0" applyFill="1" applyBorder="1" applyAlignment="1">
      <alignment horizontal="left" vertical="center" wrapText="1"/>
    </xf>
    <xf numFmtId="0" fontId="0" fillId="2" borderId="15" xfId="0" applyFill="1" applyBorder="1" applyAlignment="1">
      <alignment horizontal="left" vertical="center" wrapText="1"/>
    </xf>
    <xf numFmtId="14" fontId="7" fillId="2" borderId="15" xfId="0" applyNumberFormat="1" applyFont="1" applyFill="1" applyBorder="1" applyAlignment="1">
      <alignment horizontal="left" vertical="center" wrapText="1"/>
    </xf>
    <xf numFmtId="0" fontId="0" fillId="2" borderId="23" xfId="0" applyFill="1" applyBorder="1" applyAlignment="1">
      <alignment horizontal="left" vertical="center" wrapText="1"/>
    </xf>
    <xf numFmtId="0" fontId="14" fillId="2" borderId="14" xfId="0" applyFont="1" applyFill="1" applyBorder="1" applyAlignment="1" applyProtection="1">
      <alignment horizontal="left" vertical="center" wrapText="1"/>
      <protection locked="0"/>
    </xf>
    <xf numFmtId="0" fontId="14" fillId="2" borderId="23" xfId="0" applyFont="1" applyFill="1" applyBorder="1" applyAlignment="1" applyProtection="1">
      <alignment horizontal="left" vertical="center" wrapText="1"/>
      <protection locked="0"/>
    </xf>
    <xf numFmtId="0" fontId="7" fillId="3" borderId="19" xfId="0" applyFont="1" applyFill="1" applyBorder="1" applyAlignment="1">
      <alignment horizontal="left" vertical="center" wrapText="1"/>
    </xf>
    <xf numFmtId="0" fontId="0" fillId="15" borderId="19" xfId="0" applyFill="1" applyBorder="1" applyAlignment="1">
      <alignment horizontal="left" vertical="center" wrapText="1"/>
    </xf>
    <xf numFmtId="0" fontId="0" fillId="15" borderId="15" xfId="0" applyFill="1" applyBorder="1" applyAlignment="1">
      <alignment horizontal="left" vertical="center" wrapText="1"/>
    </xf>
    <xf numFmtId="0" fontId="14" fillId="2" borderId="19" xfId="0" applyFont="1" applyFill="1" applyBorder="1" applyAlignment="1">
      <alignment horizontal="left" vertical="center" wrapText="1"/>
    </xf>
    <xf numFmtId="0" fontId="14" fillId="2" borderId="15" xfId="0" applyFont="1" applyFill="1" applyBorder="1" applyAlignment="1">
      <alignment horizontal="left" vertical="center" wrapText="1"/>
    </xf>
    <xf numFmtId="0" fontId="14" fillId="2" borderId="23" xfId="0" applyFont="1" applyFill="1" applyBorder="1" applyAlignment="1">
      <alignment horizontal="left" vertical="center" wrapText="1"/>
    </xf>
    <xf numFmtId="0" fontId="14" fillId="16" borderId="14" xfId="0" applyFont="1" applyFill="1" applyBorder="1" applyAlignment="1">
      <alignment horizontal="center" vertical="center" wrapText="1"/>
    </xf>
    <xf numFmtId="0" fontId="14" fillId="16" borderId="15" xfId="0" applyFont="1" applyFill="1" applyBorder="1" applyAlignment="1">
      <alignment horizontal="center" vertical="center" wrapText="1"/>
    </xf>
    <xf numFmtId="0" fontId="14" fillId="16" borderId="23" xfId="0" applyFont="1" applyFill="1" applyBorder="1" applyAlignment="1">
      <alignment horizontal="center" vertical="center" wrapText="1"/>
    </xf>
    <xf numFmtId="0" fontId="14" fillId="16" borderId="14" xfId="0" applyFont="1" applyFill="1" applyBorder="1" applyAlignment="1">
      <alignment horizontal="left" vertical="center" wrapText="1"/>
    </xf>
    <xf numFmtId="0" fontId="14" fillId="16" borderId="15" xfId="0" applyFont="1" applyFill="1" applyBorder="1" applyAlignment="1">
      <alignment horizontal="left" vertical="center" wrapText="1"/>
    </xf>
    <xf numFmtId="0" fontId="14" fillId="16" borderId="23" xfId="0" applyFont="1" applyFill="1" applyBorder="1" applyAlignment="1">
      <alignment horizontal="left" vertical="center" wrapText="1"/>
    </xf>
    <xf numFmtId="0" fontId="21" fillId="8" borderId="14" xfId="0" applyFont="1" applyFill="1" applyBorder="1" applyAlignment="1">
      <alignment horizontal="left" vertical="center" wrapText="1"/>
    </xf>
    <xf numFmtId="0" fontId="21" fillId="8" borderId="15" xfId="0" applyFont="1" applyFill="1" applyBorder="1" applyAlignment="1">
      <alignment horizontal="left" vertical="center" wrapText="1"/>
    </xf>
    <xf numFmtId="0" fontId="21" fillId="8" borderId="23" xfId="0" applyFont="1" applyFill="1" applyBorder="1" applyAlignment="1">
      <alignment horizontal="left" vertical="center" wrapText="1"/>
    </xf>
    <xf numFmtId="0" fontId="21" fillId="8" borderId="14" xfId="0" applyFont="1" applyFill="1" applyBorder="1" applyAlignment="1">
      <alignment horizontal="center" vertical="center" wrapText="1"/>
    </xf>
    <xf numFmtId="0" fontId="21" fillId="8" borderId="15" xfId="0" applyFont="1" applyFill="1" applyBorder="1" applyAlignment="1">
      <alignment horizontal="center" vertical="center" wrapText="1"/>
    </xf>
    <xf numFmtId="0" fontId="21" fillId="8" borderId="23" xfId="0" applyFont="1" applyFill="1" applyBorder="1" applyAlignment="1">
      <alignment horizontal="center" vertical="center" wrapText="1"/>
    </xf>
    <xf numFmtId="0" fontId="14" fillId="2" borderId="14" xfId="0" applyFont="1" applyFill="1" applyBorder="1" applyAlignment="1">
      <alignment horizontal="left" vertical="center" wrapText="1"/>
    </xf>
    <xf numFmtId="0" fontId="14" fillId="8" borderId="14" xfId="0" applyFont="1" applyFill="1" applyBorder="1" applyAlignment="1">
      <alignment horizontal="left" vertical="center" wrapText="1"/>
    </xf>
    <xf numFmtId="0" fontId="14" fillId="8" borderId="15" xfId="0" applyFont="1" applyFill="1" applyBorder="1" applyAlignment="1">
      <alignment horizontal="left" vertical="center" wrapText="1"/>
    </xf>
    <xf numFmtId="0" fontId="14" fillId="8" borderId="23" xfId="0" applyFont="1" applyFill="1" applyBorder="1" applyAlignment="1">
      <alignment horizontal="left" vertical="center" wrapText="1"/>
    </xf>
    <xf numFmtId="0" fontId="0" fillId="3" borderId="14" xfId="0" applyFill="1" applyBorder="1" applyAlignment="1">
      <alignment horizontal="center" vertical="top" wrapText="1"/>
    </xf>
    <xf numFmtId="0" fontId="0" fillId="3" borderId="15" xfId="0" applyFill="1" applyBorder="1" applyAlignment="1">
      <alignment horizontal="center" vertical="top" wrapText="1"/>
    </xf>
    <xf numFmtId="0" fontId="0" fillId="3" borderId="23" xfId="0" applyFill="1" applyBorder="1" applyAlignment="1">
      <alignment horizontal="center" vertical="top" wrapText="1"/>
    </xf>
    <xf numFmtId="0" fontId="5" fillId="3" borderId="14" xfId="0" applyFont="1" applyFill="1" applyBorder="1" applyAlignment="1">
      <alignment horizontal="center" vertical="top" wrapText="1"/>
    </xf>
    <xf numFmtId="0" fontId="7" fillId="4" borderId="14"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4" fillId="13" borderId="0" xfId="0" applyFont="1" applyFill="1" applyAlignment="1" applyProtection="1">
      <alignment horizontal="left" vertical="center" wrapText="1"/>
      <protection locked="0"/>
    </xf>
    <xf numFmtId="0" fontId="14" fillId="18" borderId="19" xfId="0" applyFont="1" applyFill="1" applyBorder="1" applyAlignment="1">
      <alignment horizontal="left" vertical="center" wrapText="1"/>
    </xf>
    <xf numFmtId="0" fontId="14" fillId="18" borderId="15" xfId="0" applyFont="1" applyFill="1" applyBorder="1" applyAlignment="1">
      <alignment horizontal="left" vertical="center" wrapText="1"/>
    </xf>
    <xf numFmtId="0" fontId="14" fillId="18" borderId="14" xfId="0" applyFont="1" applyFill="1" applyBorder="1" applyAlignment="1" applyProtection="1">
      <alignment horizontal="left" vertical="center" wrapText="1"/>
      <protection locked="0"/>
    </xf>
    <xf numFmtId="0" fontId="14" fillId="18" borderId="15" xfId="0" applyFont="1" applyFill="1" applyBorder="1" applyAlignment="1" applyProtection="1">
      <alignment horizontal="left" vertical="center" wrapText="1"/>
      <protection locked="0"/>
    </xf>
    <xf numFmtId="0" fontId="14" fillId="18" borderId="23" xfId="0" applyFont="1" applyFill="1" applyBorder="1" applyAlignment="1" applyProtection="1">
      <alignment horizontal="left" vertical="center" wrapText="1"/>
      <protection locked="0"/>
    </xf>
    <xf numFmtId="0" fontId="2" fillId="3" borderId="14" xfId="0" applyFont="1" applyFill="1" applyBorder="1" applyAlignment="1">
      <alignment horizontal="center" vertical="top" wrapText="1"/>
    </xf>
    <xf numFmtId="0" fontId="7" fillId="2" borderId="19"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0" fillId="8" borderId="19" xfId="0" applyFill="1" applyBorder="1" applyAlignment="1">
      <alignment horizontal="left" vertical="center" wrapText="1"/>
    </xf>
    <xf numFmtId="0" fontId="14" fillId="8" borderId="14" xfId="0" applyFont="1" applyFill="1" applyBorder="1" applyAlignment="1" applyProtection="1">
      <alignment horizontal="left" vertical="center" wrapText="1"/>
      <protection locked="0"/>
    </xf>
    <xf numFmtId="0" fontId="14" fillId="8" borderId="23" xfId="0" applyFont="1" applyFill="1" applyBorder="1" applyAlignment="1" applyProtection="1">
      <alignment horizontal="left" vertical="center" wrapText="1"/>
      <protection locked="0"/>
    </xf>
    <xf numFmtId="0" fontId="14" fillId="8" borderId="19" xfId="0" applyFont="1" applyFill="1" applyBorder="1" applyAlignment="1">
      <alignment horizontal="left" vertical="center" wrapText="1"/>
    </xf>
    <xf numFmtId="0" fontId="7" fillId="2" borderId="21" xfId="0" applyFont="1" applyFill="1" applyBorder="1" applyAlignment="1">
      <alignment horizontal="left" vertical="center"/>
    </xf>
    <xf numFmtId="0" fontId="14" fillId="18" borderId="23" xfId="0" applyFont="1" applyFill="1" applyBorder="1" applyAlignment="1">
      <alignment horizontal="left" vertical="center" wrapText="1"/>
    </xf>
    <xf numFmtId="0" fontId="4" fillId="3" borderId="14" xfId="0" applyFont="1" applyFill="1" applyBorder="1" applyAlignment="1">
      <alignment horizontal="center" vertical="top" wrapText="1"/>
    </xf>
    <xf numFmtId="0" fontId="7" fillId="8" borderId="14" xfId="0" applyFont="1" applyFill="1" applyBorder="1" applyAlignment="1">
      <alignment horizontal="left" vertical="center"/>
    </xf>
    <xf numFmtId="0" fontId="7" fillId="8" borderId="1" xfId="0" applyFont="1" applyFill="1" applyBorder="1" applyAlignment="1">
      <alignment horizontal="left" vertical="center" wrapText="1"/>
    </xf>
    <xf numFmtId="0" fontId="7" fillId="7" borderId="14" xfId="0" applyFont="1" applyFill="1" applyBorder="1" applyAlignment="1">
      <alignment horizontal="left" vertical="center" wrapText="1"/>
    </xf>
    <xf numFmtId="0" fontId="7" fillId="7" borderId="15" xfId="0" applyFont="1" applyFill="1" applyBorder="1" applyAlignment="1">
      <alignment horizontal="left" vertical="center" wrapText="1"/>
    </xf>
    <xf numFmtId="0" fontId="7" fillId="7" borderId="23" xfId="0" applyFont="1" applyFill="1" applyBorder="1" applyAlignment="1">
      <alignment horizontal="left" vertical="center" wrapText="1"/>
    </xf>
    <xf numFmtId="0" fontId="7" fillId="9" borderId="14" xfId="0" applyFont="1" applyFill="1" applyBorder="1" applyAlignment="1">
      <alignment horizontal="left" vertical="center" wrapText="1"/>
    </xf>
    <xf numFmtId="0" fontId="7" fillId="9" borderId="15" xfId="0" applyFont="1" applyFill="1" applyBorder="1" applyAlignment="1">
      <alignment horizontal="left" vertical="center" wrapText="1"/>
    </xf>
    <xf numFmtId="0" fontId="7" fillId="9" borderId="23" xfId="0" applyFont="1" applyFill="1" applyBorder="1" applyAlignment="1">
      <alignment horizontal="left" vertical="center" wrapText="1"/>
    </xf>
    <xf numFmtId="14" fontId="7" fillId="3" borderId="1" xfId="0" applyNumberFormat="1"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5" borderId="14" xfId="0" applyFont="1" applyFill="1" applyBorder="1" applyAlignment="1">
      <alignment horizontal="left" vertical="center" wrapText="1"/>
    </xf>
    <xf numFmtId="0" fontId="7" fillId="5" borderId="15" xfId="0" applyFont="1" applyFill="1" applyBorder="1" applyAlignment="1">
      <alignment horizontal="left" vertical="center" wrapText="1"/>
    </xf>
    <xf numFmtId="0" fontId="7" fillId="5" borderId="23" xfId="0" applyFont="1" applyFill="1" applyBorder="1" applyAlignment="1">
      <alignment horizontal="left" vertical="center" wrapText="1"/>
    </xf>
    <xf numFmtId="0" fontId="7" fillId="5" borderId="1" xfId="0"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4" fillId="7" borderId="14" xfId="0" applyFont="1" applyFill="1" applyBorder="1" applyAlignment="1">
      <alignment horizontal="left" vertical="center" wrapText="1"/>
    </xf>
    <xf numFmtId="0" fontId="14" fillId="7" borderId="15" xfId="0" applyFont="1" applyFill="1" applyBorder="1" applyAlignment="1">
      <alignment horizontal="left" vertical="center" wrapText="1"/>
    </xf>
    <xf numFmtId="0" fontId="14" fillId="7" borderId="23" xfId="0" applyFont="1" applyFill="1" applyBorder="1" applyAlignment="1">
      <alignment horizontal="left" vertical="center" wrapText="1"/>
    </xf>
    <xf numFmtId="0" fontId="7" fillId="11" borderId="14" xfId="0" applyFont="1" applyFill="1" applyBorder="1" applyAlignment="1">
      <alignment horizontal="left" vertical="center" wrapText="1"/>
    </xf>
    <xf numFmtId="0" fontId="7" fillId="11" borderId="15" xfId="0" applyFont="1" applyFill="1" applyBorder="1" applyAlignment="1">
      <alignment horizontal="left" vertical="center" wrapText="1"/>
    </xf>
    <xf numFmtId="0" fontId="7" fillId="11" borderId="23" xfId="0" applyFont="1" applyFill="1" applyBorder="1" applyAlignment="1">
      <alignment horizontal="left" vertical="center" wrapText="1"/>
    </xf>
    <xf numFmtId="14" fontId="7" fillId="11" borderId="14" xfId="0" applyNumberFormat="1" applyFont="1" applyFill="1" applyBorder="1" applyAlignment="1">
      <alignment horizontal="left" vertical="center" wrapText="1"/>
    </xf>
    <xf numFmtId="14" fontId="7" fillId="11" borderId="15" xfId="0" applyNumberFormat="1" applyFont="1" applyFill="1" applyBorder="1" applyAlignment="1">
      <alignment horizontal="left" vertical="center" wrapText="1"/>
    </xf>
    <xf numFmtId="14" fontId="7" fillId="11" borderId="23" xfId="0" applyNumberFormat="1" applyFont="1" applyFill="1" applyBorder="1" applyAlignment="1">
      <alignment horizontal="left" vertical="center" wrapText="1"/>
    </xf>
    <xf numFmtId="0" fontId="7" fillId="12" borderId="14" xfId="0" applyFont="1" applyFill="1" applyBorder="1" applyAlignment="1">
      <alignment horizontal="left" vertical="center" wrapText="1"/>
    </xf>
    <xf numFmtId="0" fontId="7" fillId="12" borderId="15" xfId="0" applyFont="1" applyFill="1" applyBorder="1" applyAlignment="1">
      <alignment horizontal="left" vertical="center" wrapText="1"/>
    </xf>
    <xf numFmtId="0" fontId="7" fillId="12" borderId="23" xfId="0" applyFont="1" applyFill="1" applyBorder="1" applyAlignment="1">
      <alignment horizontal="left" vertical="center" wrapText="1"/>
    </xf>
    <xf numFmtId="0" fontId="0" fillId="12" borderId="14" xfId="0" applyFill="1" applyBorder="1" applyAlignment="1">
      <alignment horizontal="left" vertical="center" wrapText="1"/>
    </xf>
    <xf numFmtId="0" fontId="0" fillId="12" borderId="15" xfId="0" applyFill="1" applyBorder="1" applyAlignment="1">
      <alignment horizontal="left" vertical="center" wrapText="1"/>
    </xf>
    <xf numFmtId="0" fontId="0" fillId="12" borderId="23" xfId="0" applyFill="1" applyBorder="1" applyAlignment="1">
      <alignment horizontal="left" vertical="center" wrapText="1"/>
    </xf>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7" xfId="0" applyFont="1" applyFill="1" applyBorder="1" applyAlignment="1">
      <alignment horizontal="center" vertical="center" wrapText="1"/>
    </xf>
    <xf numFmtId="0" fontId="13" fillId="7" borderId="4" xfId="0" applyFont="1" applyFill="1" applyBorder="1" applyAlignment="1">
      <alignment horizontal="center" vertical="center" wrapText="1"/>
    </xf>
    <xf numFmtId="0" fontId="13" fillId="7" borderId="0" xfId="0" applyFont="1" applyFill="1" applyAlignment="1">
      <alignment horizontal="center" vertical="center" wrapText="1"/>
    </xf>
    <xf numFmtId="0" fontId="13" fillId="7" borderId="8"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3" fillId="7" borderId="6" xfId="0" applyFont="1" applyFill="1" applyBorder="1" applyAlignment="1">
      <alignment horizontal="center" vertical="center" wrapText="1"/>
    </xf>
    <xf numFmtId="0" fontId="13" fillId="7" borderId="9" xfId="0" applyFont="1" applyFill="1" applyBorder="1" applyAlignment="1">
      <alignment horizontal="center" vertical="center" wrapText="1"/>
    </xf>
    <xf numFmtId="0" fontId="0" fillId="14" borderId="2" xfId="0" applyFill="1" applyBorder="1" applyAlignment="1">
      <alignment horizontal="left" vertical="center" wrapText="1"/>
    </xf>
    <xf numFmtId="0" fontId="0" fillId="14" borderId="3" xfId="0" applyFill="1" applyBorder="1" applyAlignment="1">
      <alignment horizontal="left" vertical="center" wrapText="1"/>
    </xf>
    <xf numFmtId="0" fontId="0" fillId="14" borderId="7" xfId="0" applyFill="1" applyBorder="1" applyAlignment="1">
      <alignment horizontal="left" vertical="center" wrapText="1"/>
    </xf>
    <xf numFmtId="0" fontId="0" fillId="14" borderId="4" xfId="0" applyFill="1" applyBorder="1" applyAlignment="1">
      <alignment horizontal="left" vertical="center" wrapText="1"/>
    </xf>
    <xf numFmtId="0" fontId="0" fillId="14" borderId="0" xfId="0" applyFill="1" applyAlignment="1">
      <alignment horizontal="left" vertical="center" wrapText="1"/>
    </xf>
    <xf numFmtId="0" fontId="0" fillId="14" borderId="8" xfId="0" applyFill="1" applyBorder="1" applyAlignment="1">
      <alignment horizontal="left" vertical="center" wrapText="1"/>
    </xf>
    <xf numFmtId="0" fontId="0" fillId="14" borderId="5" xfId="0" applyFill="1" applyBorder="1" applyAlignment="1">
      <alignment horizontal="left" vertical="center" wrapText="1"/>
    </xf>
    <xf numFmtId="0" fontId="0" fillId="14" borderId="6" xfId="0" applyFill="1" applyBorder="1" applyAlignment="1">
      <alignment horizontal="left" vertical="center" wrapText="1"/>
    </xf>
    <xf numFmtId="0" fontId="0" fillId="14" borderId="9" xfId="0" applyFill="1" applyBorder="1" applyAlignment="1">
      <alignment horizontal="left" vertical="center" wrapText="1"/>
    </xf>
    <xf numFmtId="0" fontId="0" fillId="14" borderId="1" xfId="0" applyFill="1" applyBorder="1" applyAlignment="1">
      <alignment horizontal="left" vertical="center" wrapText="1"/>
    </xf>
    <xf numFmtId="0" fontId="7" fillId="7" borderId="2" xfId="0" applyFont="1" applyFill="1" applyBorder="1" applyAlignment="1">
      <alignment horizontal="left" vertical="center" wrapText="1"/>
    </xf>
    <xf numFmtId="0" fontId="7" fillId="7" borderId="3" xfId="0" applyFont="1" applyFill="1" applyBorder="1" applyAlignment="1">
      <alignment horizontal="left" vertical="center" wrapText="1"/>
    </xf>
    <xf numFmtId="0" fontId="7" fillId="7" borderId="7" xfId="0" applyFont="1" applyFill="1" applyBorder="1" applyAlignment="1">
      <alignment horizontal="left" vertical="center" wrapText="1"/>
    </xf>
    <xf numFmtId="0" fontId="7" fillId="7" borderId="5" xfId="0" applyFont="1" applyFill="1" applyBorder="1" applyAlignment="1">
      <alignment horizontal="left" vertical="center" wrapText="1"/>
    </xf>
    <xf numFmtId="0" fontId="7" fillId="7" borderId="6" xfId="0" applyFont="1" applyFill="1" applyBorder="1" applyAlignment="1">
      <alignment horizontal="left" vertical="center" wrapText="1"/>
    </xf>
    <xf numFmtId="0" fontId="7" fillId="7" borderId="9"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9"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7" fillId="5" borderId="7" xfId="0" applyFont="1" applyFill="1" applyBorder="1" applyAlignment="1">
      <alignment horizontal="left" vertical="center" wrapText="1"/>
    </xf>
    <xf numFmtId="0" fontId="7" fillId="5" borderId="4" xfId="0" applyFont="1" applyFill="1" applyBorder="1" applyAlignment="1">
      <alignment horizontal="left" vertical="center" wrapText="1"/>
    </xf>
    <xf numFmtId="0" fontId="7" fillId="5" borderId="0" xfId="0" applyFont="1" applyFill="1" applyAlignment="1">
      <alignment horizontal="left" vertical="center" wrapText="1"/>
    </xf>
    <xf numFmtId="0" fontId="7" fillId="5" borderId="8" xfId="0" applyFont="1" applyFill="1" applyBorder="1" applyAlignment="1">
      <alignment horizontal="left" vertical="center" wrapText="1"/>
    </xf>
    <xf numFmtId="0" fontId="7" fillId="5" borderId="5" xfId="0" applyFont="1" applyFill="1" applyBorder="1" applyAlignment="1">
      <alignment horizontal="left" vertical="center" wrapText="1"/>
    </xf>
    <xf numFmtId="0" fontId="7" fillId="5" borderId="6" xfId="0" applyFont="1" applyFill="1" applyBorder="1" applyAlignment="1">
      <alignment horizontal="left" vertical="center" wrapText="1"/>
    </xf>
    <xf numFmtId="0" fontId="7" fillId="5" borderId="9"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7" fillId="3" borderId="9"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0" fillId="2" borderId="14" xfId="0" applyFill="1" applyBorder="1" applyAlignment="1">
      <alignment horizontal="left"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2" fillId="3" borderId="16" xfId="0" applyFont="1" applyFill="1" applyBorder="1" applyAlignment="1">
      <alignment horizontal="left" vertical="center" wrapText="1"/>
    </xf>
    <xf numFmtId="0" fontId="12" fillId="3" borderId="14" xfId="0" applyFont="1" applyFill="1" applyBorder="1" applyAlignment="1" applyProtection="1">
      <alignment horizontal="left" vertical="center" wrapText="1"/>
      <protection locked="0"/>
    </xf>
    <xf numFmtId="0" fontId="12" fillId="3" borderId="15" xfId="0" applyFont="1" applyFill="1" applyBorder="1" applyAlignment="1" applyProtection="1">
      <alignment horizontal="left" vertical="center" wrapText="1"/>
      <protection locked="0"/>
    </xf>
    <xf numFmtId="0" fontId="12" fillId="3" borderId="16" xfId="0" applyFont="1" applyFill="1" applyBorder="1" applyAlignment="1" applyProtection="1">
      <alignment horizontal="left" vertical="center" wrapText="1"/>
      <protection locked="0"/>
    </xf>
    <xf numFmtId="14" fontId="12" fillId="3" borderId="14" xfId="0" applyNumberFormat="1" applyFont="1" applyFill="1" applyBorder="1" applyAlignment="1" applyProtection="1">
      <alignment horizontal="left" vertical="center" wrapText="1"/>
      <protection locked="0"/>
    </xf>
    <xf numFmtId="14" fontId="12" fillId="3" borderId="15" xfId="0" applyNumberFormat="1" applyFont="1" applyFill="1" applyBorder="1" applyAlignment="1" applyProtection="1">
      <alignment horizontal="left" vertical="center" wrapText="1"/>
      <protection locked="0"/>
    </xf>
    <xf numFmtId="14" fontId="12" fillId="3" borderId="16" xfId="0" applyNumberFormat="1" applyFont="1" applyFill="1" applyBorder="1" applyAlignment="1" applyProtection="1">
      <alignment horizontal="left" vertical="center" wrapText="1"/>
      <protection locked="0"/>
    </xf>
    <xf numFmtId="0" fontId="11" fillId="5" borderId="19" xfId="0" applyFont="1" applyFill="1" applyBorder="1" applyAlignment="1">
      <alignment horizontal="left" vertical="center" wrapText="1"/>
    </xf>
    <xf numFmtId="0" fontId="11" fillId="5" borderId="15" xfId="0" applyFont="1" applyFill="1" applyBorder="1" applyAlignment="1">
      <alignment horizontal="left" vertical="center" wrapText="1"/>
    </xf>
    <xf numFmtId="0" fontId="11" fillId="5" borderId="16" xfId="0" applyFont="1" applyFill="1" applyBorder="1" applyAlignment="1">
      <alignment horizontal="left" vertical="center" wrapText="1"/>
    </xf>
    <xf numFmtId="0" fontId="0" fillId="6" borderId="21" xfId="0" applyFill="1" applyBorder="1" applyAlignment="1">
      <alignment horizontal="left" vertical="center"/>
    </xf>
    <xf numFmtId="0" fontId="0" fillId="6" borderId="3" xfId="0" applyFill="1" applyBorder="1" applyAlignment="1">
      <alignment horizontal="left" vertical="center"/>
    </xf>
    <xf numFmtId="0" fontId="0" fillId="6" borderId="22" xfId="0" applyFill="1" applyBorder="1" applyAlignment="1">
      <alignment horizontal="left" vertical="center"/>
    </xf>
    <xf numFmtId="0" fontId="11" fillId="3" borderId="17" xfId="0" applyFont="1" applyFill="1" applyBorder="1" applyAlignment="1">
      <alignment horizontal="left" vertical="center" wrapText="1"/>
    </xf>
    <xf numFmtId="0" fontId="11" fillId="3" borderId="18"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2" fillId="5" borderId="20" xfId="0" applyFont="1" applyFill="1" applyBorder="1" applyAlignment="1">
      <alignment horizontal="left" vertical="center" wrapText="1"/>
    </xf>
    <xf numFmtId="0" fontId="12" fillId="6" borderId="19" xfId="0" applyFont="1" applyFill="1" applyBorder="1" applyAlignment="1">
      <alignment horizontal="left" vertical="center" wrapText="1"/>
    </xf>
    <xf numFmtId="0" fontId="12" fillId="6" borderId="15" xfId="0" applyFont="1" applyFill="1" applyBorder="1" applyAlignment="1">
      <alignment horizontal="left" vertical="center" wrapText="1"/>
    </xf>
    <xf numFmtId="0" fontId="12" fillId="6" borderId="16" xfId="0" applyFont="1" applyFill="1" applyBorder="1" applyAlignment="1">
      <alignment horizontal="left" vertical="center" wrapText="1"/>
    </xf>
    <xf numFmtId="0" fontId="0" fillId="6" borderId="1" xfId="0" applyFill="1" applyBorder="1" applyAlignment="1">
      <alignment horizontal="left" vertical="center"/>
    </xf>
    <xf numFmtId="14" fontId="0" fillId="6" borderId="14" xfId="0" applyNumberFormat="1" applyFill="1" applyBorder="1" applyAlignment="1">
      <alignment horizontal="left" vertical="center"/>
    </xf>
    <xf numFmtId="0" fontId="0" fillId="6" borderId="15" xfId="0" applyFill="1" applyBorder="1" applyAlignment="1">
      <alignment horizontal="left" vertical="center"/>
    </xf>
    <xf numFmtId="0" fontId="0" fillId="6" borderId="16" xfId="0" applyFill="1" applyBorder="1" applyAlignment="1">
      <alignment horizontal="left" vertical="center"/>
    </xf>
    <xf numFmtId="0" fontId="9" fillId="3" borderId="1" xfId="0" applyFont="1" applyFill="1" applyBorder="1" applyAlignment="1">
      <alignment horizontal="left" vertical="center"/>
    </xf>
    <xf numFmtId="0" fontId="6" fillId="2" borderId="1" xfId="0" applyFont="1" applyFill="1" applyBorder="1" applyAlignment="1">
      <alignment horizontal="center" wrapText="1"/>
    </xf>
    <xf numFmtId="0" fontId="0" fillId="2" borderId="1" xfId="0" applyFill="1" applyBorder="1" applyAlignment="1">
      <alignment horizontal="center" wrapText="1"/>
    </xf>
    <xf numFmtId="0" fontId="7" fillId="3" borderId="2" xfId="0" applyFont="1" applyFill="1" applyBorder="1" applyAlignment="1">
      <alignment horizontal="center" wrapText="1"/>
    </xf>
    <xf numFmtId="0" fontId="7" fillId="3" borderId="3" xfId="0" applyFont="1" applyFill="1" applyBorder="1" applyAlignment="1">
      <alignment horizontal="center" wrapText="1"/>
    </xf>
    <xf numFmtId="0" fontId="7" fillId="3" borderId="7" xfId="0" applyFont="1" applyFill="1" applyBorder="1" applyAlignment="1">
      <alignment horizontal="center" wrapText="1"/>
    </xf>
    <xf numFmtId="0" fontId="7" fillId="3" borderId="4" xfId="0" applyFont="1" applyFill="1" applyBorder="1" applyAlignment="1">
      <alignment horizontal="center" wrapText="1"/>
    </xf>
    <xf numFmtId="0" fontId="7" fillId="3" borderId="0" xfId="0" applyFont="1" applyFill="1" applyAlignment="1">
      <alignment horizontal="center" wrapText="1"/>
    </xf>
    <xf numFmtId="0" fontId="7" fillId="3" borderId="8" xfId="0" applyFont="1" applyFill="1" applyBorder="1" applyAlignment="1">
      <alignment horizontal="center" wrapText="1"/>
    </xf>
    <xf numFmtId="0" fontId="7" fillId="3" borderId="5" xfId="0" applyFont="1" applyFill="1" applyBorder="1" applyAlignment="1">
      <alignment horizontal="center" wrapText="1"/>
    </xf>
    <xf numFmtId="0" fontId="7" fillId="3" borderId="6" xfId="0" applyFont="1" applyFill="1" applyBorder="1" applyAlignment="1">
      <alignment horizontal="center" wrapText="1"/>
    </xf>
    <xf numFmtId="0" fontId="7" fillId="3" borderId="9" xfId="0" applyFont="1" applyFill="1" applyBorder="1" applyAlignment="1">
      <alignment horizontal="center" wrapText="1"/>
    </xf>
    <xf numFmtId="0" fontId="8" fillId="2" borderId="1" xfId="0" applyFont="1" applyFill="1" applyBorder="1" applyAlignment="1">
      <alignment horizontal="left" vertical="center" wrapText="1"/>
    </xf>
    <xf numFmtId="0" fontId="1" fillId="6" borderId="14" xfId="0" applyFont="1" applyFill="1" applyBorder="1" applyAlignment="1" applyProtection="1">
      <alignment horizontal="left" vertical="center" wrapText="1"/>
      <protection locked="0"/>
    </xf>
    <xf numFmtId="0" fontId="1" fillId="3" borderId="14"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ctrlProps/ctrlProp1.xml><?xml version="1.0" encoding="utf-8"?>
<formControlPr xmlns="http://schemas.microsoft.com/office/spreadsheetml/2009/9/main" objectType="CheckBox" noThreeD="1"/>
</file>

<file path=xl/ctrlProps/ctrlProp2.xml><?xml version="1.0" encoding="utf-8"?>
<formControlPr xmlns="http://schemas.microsoft.com/office/spreadsheetml/2009/9/main" objectType="CheckBox" noThreeD="1"/>
</file>

<file path=xl/ctrlProps/ctrlProp3.xml><?xml version="1.0" encoding="utf-8"?>
<formControlPr xmlns="http://schemas.microsoft.com/office/spreadsheetml/2009/9/main" objectType="CheckBox" noThreeD="1"/>
</file>

<file path=xl/ctrlProps/ctrlProp4.xml><?xml version="1.0" encoding="utf-8"?>
<formControlPr xmlns="http://schemas.microsoft.com/office/spreadsheetml/2009/9/main" objectType="CheckBox" checked="Checked" noThreeD="1"/>
</file>

<file path=xl/ctrlProps/ctrlProp5.xml><?xml version="1.0" encoding="utf-8"?>
<formControlPr xmlns="http://schemas.microsoft.com/office/spreadsheetml/2009/9/main" objectType="CheckBox" noThreeD="1"/>
</file>

<file path=xl/ctrlProps/ctrlProp6.xml><?xml version="1.0" encoding="utf-8"?>
<formControlPr xmlns="http://schemas.microsoft.com/office/spreadsheetml/2009/9/main" objectType="CheckBox" checked="Checked" noThreeD="1"/>
</file>

<file path=xl/ctrlProps/ctrlProp7.xml><?xml version="1.0" encoding="utf-8"?>
<formControlPr xmlns="http://schemas.microsoft.com/office/spreadsheetml/2009/9/main" objectType="CheckBox" checked="Checked" noThreeD="1"/>
</file>

<file path=xl/ctrlProps/ctrlProp8.xml><?xml version="1.0" encoding="utf-8"?>
<formControlPr xmlns="http://schemas.microsoft.com/office/spreadsheetml/2009/9/main" objectType="CheckBox" noThreeD="1"/>
</file>

<file path=xl/ctrlProps/ctrlProp9.xml><?xml version="1.0" encoding="utf-8"?>
<formControlPr xmlns="http://schemas.microsoft.com/office/spreadsheetml/2009/9/main" objectType="CheckBox" noThreeD="1"/>
</file>

<file path=xl/ctrlProps/ctrlProp10.xml><?xml version="1.0" encoding="utf-8"?>
<formControlPr xmlns="http://schemas.microsoft.com/office/spreadsheetml/2009/9/main" objectType="CheckBox" checked="Checked" noThreeD="1"/>
</file>

<file path=xl/ctrlProps/ctrlProp11.xml><?xml version="1.0" encoding="utf-8"?>
<formControlPr xmlns="http://schemas.microsoft.com/office/spreadsheetml/2009/9/main" objectType="CheckBox" noThreeD="1"/>
</file>

<file path=xl/ctrlProps/ctrlProp12.xml><?xml version="1.0" encoding="utf-8"?>
<formControlPr xmlns="http://schemas.microsoft.com/office/spreadsheetml/2009/9/main" objectType="CheckBox" checked="Checked" noThreeD="1"/>
</file>

<file path=xl/ctrlProps/ctrlProp13.xml><?xml version="1.0" encoding="utf-8"?>
<formControlPr xmlns="http://schemas.microsoft.com/office/spreadsheetml/2009/9/main" objectType="CheckBox" checked="Checked" noThreeD="1"/>
</file>

<file path=xl/ctrlProps/ctrlProp14.xml><?xml version="1.0" encoding="utf-8"?>
<formControlPr xmlns="http://schemas.microsoft.com/office/spreadsheetml/2009/9/main" objectType="CheckBox" checked="Checked" noThreeD="1"/>
</file>

<file path=xl/ctrlProps/ctrlProp15.xml><?xml version="1.0" encoding="utf-8"?>
<formControlPr xmlns="http://schemas.microsoft.com/office/spreadsheetml/2009/9/main" objectType="CheckBox" noThreeD="1"/>
</file>

<file path=xl/ctrlProps/ctrlProp16.xml><?xml version="1.0" encoding="utf-8"?>
<formControlPr xmlns="http://schemas.microsoft.com/office/spreadsheetml/2009/9/main" objectType="CheckBox" checked="Checked" noThreeD="1"/>
</file>

<file path=xl/ctrlProps/ctrlProp17.xml><?xml version="1.0" encoding="utf-8"?>
<formControlPr xmlns="http://schemas.microsoft.com/office/spreadsheetml/2009/9/main" objectType="CheckBox" noThreeD="1"/>
</file>

<file path=xl/ctrlProps/ctrlProp18.xml><?xml version="1.0" encoding="utf-8"?>
<formControlPr xmlns="http://schemas.microsoft.com/office/spreadsheetml/2009/9/main" objectType="CheckBox" checked="Checked" noThreeD="1"/>
</file>

<file path=xl/ctrlProps/ctrlProp19.xml><?xml version="1.0" encoding="utf-8"?>
<formControlPr xmlns="http://schemas.microsoft.com/office/spreadsheetml/2009/9/main" objectType="CheckBox" noThreeD="1"/>
</file>

<file path=xl/ctrlProps/ctrlProp20.xml><?xml version="1.0" encoding="utf-8"?>
<formControlPr xmlns="http://schemas.microsoft.com/office/spreadsheetml/2009/9/main" objectType="CheckBox" noThreeD="1"/>
</file>

<file path=xl/ctrlProps/ctrlProp21.xml><?xml version="1.0" encoding="utf-8"?>
<formControlPr xmlns="http://schemas.microsoft.com/office/spreadsheetml/2009/9/main" objectType="CheckBox" checked="Checked" noThreeD="1"/>
</file>

<file path=xl/ctrlProps/ctrlProp22.xml><?xml version="1.0" encoding="utf-8"?>
<formControlPr xmlns="http://schemas.microsoft.com/office/spreadsheetml/2009/9/main" objectType="CheckBox" noThreeD="1"/>
</file>

<file path=xl/ctrlProps/ctrlProp23.xml><?xml version="1.0" encoding="utf-8"?>
<formControlPr xmlns="http://schemas.microsoft.com/office/spreadsheetml/2009/9/main" objectType="CheckBox" checked="Checked" noThreeD="1"/>
</file>

<file path=xl/ctrlProps/ctrlProp2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57150</xdr:colOff>
          <xdr:row>7</xdr:row>
          <xdr:rowOff>19050</xdr:rowOff>
        </xdr:from>
        <xdr:to>
          <xdr:col>4</xdr:col>
          <xdr:colOff>323850</xdr:colOff>
          <xdr:row>8</xdr:row>
          <xdr:rowOff>44450</xdr:rowOff>
        </xdr:to>
        <xdr:sp macro="" textlink="">
          <xdr:nvSpPr>
            <xdr:cNvPr id="12289" name="Check Box 1" hidden="1">
              <a:extLst>
                <a:ext uri="{63B3BB69-23CF-44E3-9099-C40C66FF867C}">
                  <a14:compatExt spid="_x0000_s12289"/>
                </a:ext>
                <a:ext uri="{FF2B5EF4-FFF2-40B4-BE49-F238E27FC236}">
                  <a16:creationId xmlns:a16="http://schemas.microsoft.com/office/drawing/2014/main" id="{00000000-0008-0000-0000-000001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7</xdr:row>
          <xdr:rowOff>0</xdr:rowOff>
        </xdr:from>
        <xdr:to>
          <xdr:col>6</xdr:col>
          <xdr:colOff>228600</xdr:colOff>
          <xdr:row>8</xdr:row>
          <xdr:rowOff>44450</xdr:rowOff>
        </xdr:to>
        <xdr:sp macro="" textlink="">
          <xdr:nvSpPr>
            <xdr:cNvPr id="12290" name="Check Box 2" hidden="1">
              <a:extLst>
                <a:ext uri="{63B3BB69-23CF-44E3-9099-C40C66FF867C}">
                  <a14:compatExt spid="_x0000_s12290"/>
                </a:ext>
                <a:ext uri="{FF2B5EF4-FFF2-40B4-BE49-F238E27FC236}">
                  <a16:creationId xmlns:a16="http://schemas.microsoft.com/office/drawing/2014/main" id="{00000000-0008-0000-0000-00000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127000</xdr:colOff>
          <xdr:row>6</xdr:row>
          <xdr:rowOff>838200</xdr:rowOff>
        </xdr:from>
        <xdr:to>
          <xdr:col>8</xdr:col>
          <xdr:colOff>431800</xdr:colOff>
          <xdr:row>8</xdr:row>
          <xdr:rowOff>25400</xdr:rowOff>
        </xdr:to>
        <xdr:sp macro="" textlink="">
          <xdr:nvSpPr>
            <xdr:cNvPr id="12293" name="Check Box 5" hidden="1">
              <a:extLst>
                <a:ext uri="{63B3BB69-23CF-44E3-9099-C40C66FF867C}">
                  <a14:compatExt spid="_x0000_s12293"/>
                </a:ext>
                <a:ext uri="{FF2B5EF4-FFF2-40B4-BE49-F238E27FC236}">
                  <a16:creationId xmlns:a16="http://schemas.microsoft.com/office/drawing/2014/main" id="{00000000-0008-0000-0000-00000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7</xdr:row>
          <xdr:rowOff>0</xdr:rowOff>
        </xdr:from>
        <xdr:to>
          <xdr:col>2</xdr:col>
          <xdr:colOff>247650</xdr:colOff>
          <xdr:row>8</xdr:row>
          <xdr:rowOff>44450</xdr:rowOff>
        </xdr:to>
        <xdr:sp macro="" textlink="">
          <xdr:nvSpPr>
            <xdr:cNvPr id="12294" name="Check Box 6" hidden="1">
              <a:extLst>
                <a:ext uri="{63B3BB69-23CF-44E3-9099-C40C66FF867C}">
                  <a14:compatExt spid="_x0000_s12294"/>
                </a:ext>
                <a:ext uri="{FF2B5EF4-FFF2-40B4-BE49-F238E27FC236}">
                  <a16:creationId xmlns:a16="http://schemas.microsoft.com/office/drawing/2014/main" id="{00000000-0008-0000-0000-000006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11</xdr:row>
          <xdr:rowOff>527050</xdr:rowOff>
        </xdr:from>
        <xdr:to>
          <xdr:col>3</xdr:col>
          <xdr:colOff>228600</xdr:colOff>
          <xdr:row>13</xdr:row>
          <xdr:rowOff>69850</xdr:rowOff>
        </xdr:to>
        <xdr:sp macro="" textlink="">
          <xdr:nvSpPr>
            <xdr:cNvPr id="12298" name="Check Box 10" hidden="1">
              <a:extLst>
                <a:ext uri="{63B3BB69-23CF-44E3-9099-C40C66FF867C}">
                  <a14:compatExt spid="_x0000_s12298"/>
                </a:ext>
                <a:ext uri="{FF2B5EF4-FFF2-40B4-BE49-F238E27FC236}">
                  <a16:creationId xmlns:a16="http://schemas.microsoft.com/office/drawing/2014/main" id="{00000000-0008-0000-0000-00000A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158750</xdr:colOff>
          <xdr:row>11</xdr:row>
          <xdr:rowOff>520700</xdr:rowOff>
        </xdr:from>
        <xdr:to>
          <xdr:col>5</xdr:col>
          <xdr:colOff>209550</xdr:colOff>
          <xdr:row>13</xdr:row>
          <xdr:rowOff>69850</xdr:rowOff>
        </xdr:to>
        <xdr:sp macro="" textlink="">
          <xdr:nvSpPr>
            <xdr:cNvPr id="12299" name="Check Box 11" hidden="1">
              <a:extLst>
                <a:ext uri="{63B3BB69-23CF-44E3-9099-C40C66FF867C}">
                  <a14:compatExt spid="_x0000_s12299"/>
                </a:ext>
                <a:ext uri="{FF2B5EF4-FFF2-40B4-BE49-F238E27FC236}">
                  <a16:creationId xmlns:a16="http://schemas.microsoft.com/office/drawing/2014/main" id="{00000000-0008-0000-0000-00000B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13</xdr:row>
          <xdr:rowOff>527050</xdr:rowOff>
        </xdr:from>
        <xdr:to>
          <xdr:col>3</xdr:col>
          <xdr:colOff>228600</xdr:colOff>
          <xdr:row>15</xdr:row>
          <xdr:rowOff>31750</xdr:rowOff>
        </xdr:to>
        <xdr:sp macro="" textlink="">
          <xdr:nvSpPr>
            <xdr:cNvPr id="12300" name="Check Box 12" hidden="1">
              <a:extLst>
                <a:ext uri="{63B3BB69-23CF-44E3-9099-C40C66FF867C}">
                  <a14:compatExt spid="_x0000_s12300"/>
                </a:ext>
                <a:ext uri="{FF2B5EF4-FFF2-40B4-BE49-F238E27FC236}">
                  <a16:creationId xmlns:a16="http://schemas.microsoft.com/office/drawing/2014/main" id="{00000000-0008-0000-0000-00000C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158750</xdr:colOff>
          <xdr:row>13</xdr:row>
          <xdr:rowOff>520700</xdr:rowOff>
        </xdr:from>
        <xdr:to>
          <xdr:col>5</xdr:col>
          <xdr:colOff>209550</xdr:colOff>
          <xdr:row>15</xdr:row>
          <xdr:rowOff>31750</xdr:rowOff>
        </xdr:to>
        <xdr:sp macro="" textlink="">
          <xdr:nvSpPr>
            <xdr:cNvPr id="12301" name="Check Box 13" hidden="1">
              <a:extLst>
                <a:ext uri="{63B3BB69-23CF-44E3-9099-C40C66FF867C}">
                  <a14:compatExt spid="_x0000_s12301"/>
                </a:ext>
                <a:ext uri="{FF2B5EF4-FFF2-40B4-BE49-F238E27FC236}">
                  <a16:creationId xmlns:a16="http://schemas.microsoft.com/office/drawing/2014/main" id="{00000000-0008-0000-0000-00000D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14</xdr:row>
          <xdr:rowOff>527050</xdr:rowOff>
        </xdr:from>
        <xdr:to>
          <xdr:col>3</xdr:col>
          <xdr:colOff>228600</xdr:colOff>
          <xdr:row>16</xdr:row>
          <xdr:rowOff>31750</xdr:rowOff>
        </xdr:to>
        <xdr:sp macro="" textlink="">
          <xdr:nvSpPr>
            <xdr:cNvPr id="12302" name="Check Box 14" hidden="1">
              <a:extLst>
                <a:ext uri="{63B3BB69-23CF-44E3-9099-C40C66FF867C}">
                  <a14:compatExt spid="_x0000_s12302"/>
                </a:ext>
                <a:ext uri="{FF2B5EF4-FFF2-40B4-BE49-F238E27FC236}">
                  <a16:creationId xmlns:a16="http://schemas.microsoft.com/office/drawing/2014/main" id="{00000000-0008-0000-0000-00000E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158750</xdr:colOff>
          <xdr:row>14</xdr:row>
          <xdr:rowOff>520700</xdr:rowOff>
        </xdr:from>
        <xdr:to>
          <xdr:col>5</xdr:col>
          <xdr:colOff>209550</xdr:colOff>
          <xdr:row>16</xdr:row>
          <xdr:rowOff>31750</xdr:rowOff>
        </xdr:to>
        <xdr:sp macro="" textlink="">
          <xdr:nvSpPr>
            <xdr:cNvPr id="12303" name="Check Box 15" hidden="1">
              <a:extLst>
                <a:ext uri="{63B3BB69-23CF-44E3-9099-C40C66FF867C}">
                  <a14:compatExt spid="_x0000_s12303"/>
                </a:ext>
                <a:ext uri="{FF2B5EF4-FFF2-40B4-BE49-F238E27FC236}">
                  <a16:creationId xmlns:a16="http://schemas.microsoft.com/office/drawing/2014/main" id="{00000000-0008-0000-0000-00000F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114300</xdr:colOff>
          <xdr:row>15</xdr:row>
          <xdr:rowOff>527050</xdr:rowOff>
        </xdr:from>
        <xdr:to>
          <xdr:col>3</xdr:col>
          <xdr:colOff>228600</xdr:colOff>
          <xdr:row>16</xdr:row>
          <xdr:rowOff>298450</xdr:rowOff>
        </xdr:to>
        <xdr:sp macro="" textlink="">
          <xdr:nvSpPr>
            <xdr:cNvPr id="12304" name="Check Box 16" hidden="1">
              <a:extLst>
                <a:ext uri="{63B3BB69-23CF-44E3-9099-C40C66FF867C}">
                  <a14:compatExt spid="_x0000_s12304"/>
                </a:ext>
                <a:ext uri="{FF2B5EF4-FFF2-40B4-BE49-F238E27FC236}">
                  <a16:creationId xmlns:a16="http://schemas.microsoft.com/office/drawing/2014/main" id="{00000000-0008-0000-0000-000010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158750</xdr:colOff>
          <xdr:row>15</xdr:row>
          <xdr:rowOff>520700</xdr:rowOff>
        </xdr:from>
        <xdr:to>
          <xdr:col>5</xdr:col>
          <xdr:colOff>209550</xdr:colOff>
          <xdr:row>16</xdr:row>
          <xdr:rowOff>298450</xdr:rowOff>
        </xdr:to>
        <xdr:sp macro="" textlink="">
          <xdr:nvSpPr>
            <xdr:cNvPr id="12305" name="Check Box 17" hidden="1">
              <a:extLst>
                <a:ext uri="{63B3BB69-23CF-44E3-9099-C40C66FF867C}">
                  <a14:compatExt spid="_x0000_s12305"/>
                </a:ext>
                <a:ext uri="{FF2B5EF4-FFF2-40B4-BE49-F238E27FC236}">
                  <a16:creationId xmlns:a16="http://schemas.microsoft.com/office/drawing/2014/main" id="{00000000-0008-0000-0000-000011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215900</xdr:colOff>
          <xdr:row>9</xdr:row>
          <xdr:rowOff>31750</xdr:rowOff>
        </xdr:from>
        <xdr:to>
          <xdr:col>3</xdr:col>
          <xdr:colOff>50800</xdr:colOff>
          <xdr:row>10</xdr:row>
          <xdr:rowOff>0</xdr:rowOff>
        </xdr:to>
        <xdr:sp macro="" textlink="">
          <xdr:nvSpPr>
            <xdr:cNvPr id="12306" name="Check Box 18" hidden="1">
              <a:extLst>
                <a:ext uri="{63B3BB69-23CF-44E3-9099-C40C66FF867C}">
                  <a14:compatExt spid="_x0000_s12306"/>
                </a:ext>
                <a:ext uri="{FF2B5EF4-FFF2-40B4-BE49-F238E27FC236}">
                  <a16:creationId xmlns:a16="http://schemas.microsoft.com/office/drawing/2014/main" id="{00000000-0008-0000-0000-000012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Surveillance 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742950</xdr:colOff>
          <xdr:row>9</xdr:row>
          <xdr:rowOff>31750</xdr:rowOff>
        </xdr:from>
        <xdr:to>
          <xdr:col>12</xdr:col>
          <xdr:colOff>215900</xdr:colOff>
          <xdr:row>10</xdr:row>
          <xdr:rowOff>12700</xdr:rowOff>
        </xdr:to>
        <xdr:sp macro="" textlink="">
          <xdr:nvSpPr>
            <xdr:cNvPr id="12307" name="Check Box 19" hidden="1">
              <a:extLst>
                <a:ext uri="{63B3BB69-23CF-44E3-9099-C40C66FF867C}">
                  <a14:compatExt spid="_x0000_s12307"/>
                </a:ext>
                <a:ext uri="{FF2B5EF4-FFF2-40B4-BE49-F238E27FC236}">
                  <a16:creationId xmlns:a16="http://schemas.microsoft.com/office/drawing/2014/main" id="{00000000-0008-0000-0000-000013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Recertification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127000</xdr:colOff>
          <xdr:row>10</xdr:row>
          <xdr:rowOff>203200</xdr:rowOff>
        </xdr:from>
        <xdr:to>
          <xdr:col>4</xdr:col>
          <xdr:colOff>6350</xdr:colOff>
          <xdr:row>12</xdr:row>
          <xdr:rowOff>12700</xdr:rowOff>
        </xdr:to>
        <xdr:sp macro="" textlink="">
          <xdr:nvSpPr>
            <xdr:cNvPr id="12308" name="Check Box 20" hidden="1">
              <a:extLst>
                <a:ext uri="{63B3BB69-23CF-44E3-9099-C40C66FF867C}">
                  <a14:compatExt spid="_x0000_s12308"/>
                </a:ext>
                <a:ext uri="{FF2B5EF4-FFF2-40B4-BE49-F238E27FC236}">
                  <a16:creationId xmlns:a16="http://schemas.microsoft.com/office/drawing/2014/main" id="{00000000-0008-0000-0000-000014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177800</xdr:colOff>
          <xdr:row>10</xdr:row>
          <xdr:rowOff>203200</xdr:rowOff>
        </xdr:from>
        <xdr:to>
          <xdr:col>5</xdr:col>
          <xdr:colOff>228600</xdr:colOff>
          <xdr:row>12</xdr:row>
          <xdr:rowOff>25400</xdr:rowOff>
        </xdr:to>
        <xdr:sp macro="" textlink="">
          <xdr:nvSpPr>
            <xdr:cNvPr id="12309" name="Check Box 21" hidden="1">
              <a:extLst>
                <a:ext uri="{63B3BB69-23CF-44E3-9099-C40C66FF867C}">
                  <a14:compatExt spid="_x0000_s12309"/>
                </a:ext>
                <a:ext uri="{FF2B5EF4-FFF2-40B4-BE49-F238E27FC236}">
                  <a16:creationId xmlns:a16="http://schemas.microsoft.com/office/drawing/2014/main" id="{00000000-0008-0000-0000-000015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xdr:twoCellAnchor editAs="oneCell">
    <xdr:from>
      <xdr:col>0</xdr:col>
      <xdr:colOff>374650</xdr:colOff>
      <xdr:row>0</xdr:row>
      <xdr:rowOff>50800</xdr:rowOff>
    </xdr:from>
    <xdr:to>
      <xdr:col>0</xdr:col>
      <xdr:colOff>910302</xdr:colOff>
      <xdr:row>0</xdr:row>
      <xdr:rowOff>619019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74650" y="50800"/>
          <a:ext cx="535305" cy="567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114300</xdr:colOff>
          <xdr:row>12</xdr:row>
          <xdr:rowOff>241300</xdr:rowOff>
        </xdr:from>
        <xdr:to>
          <xdr:col>3</xdr:col>
          <xdr:colOff>228600</xdr:colOff>
          <xdr:row>14</xdr:row>
          <xdr:rowOff>25400</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000-000016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165100</xdr:colOff>
          <xdr:row>12</xdr:row>
          <xdr:rowOff>241300</xdr:rowOff>
        </xdr:from>
        <xdr:to>
          <xdr:col>5</xdr:col>
          <xdr:colOff>215900</xdr:colOff>
          <xdr:row>14</xdr:row>
          <xdr:rowOff>38100</xdr:rowOff>
        </xdr:to>
        <xdr:sp macro="" textlink="">
          <xdr:nvSpPr>
            <xdr:cNvPr id="12311" name="Check Box 23" hidden="1">
              <a:extLst>
                <a:ext uri="{63B3BB69-23CF-44E3-9099-C40C66FF867C}">
                  <a14:compatExt spid="_x0000_s12311"/>
                </a:ext>
                <a:ext uri="{FF2B5EF4-FFF2-40B4-BE49-F238E27FC236}">
                  <a16:creationId xmlns:a16="http://schemas.microsoft.com/office/drawing/2014/main" id="{00000000-0008-0000-0000-000017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38100</xdr:rowOff>
        </xdr:from>
        <xdr:to>
          <xdr:col>8</xdr:col>
          <xdr:colOff>57150</xdr:colOff>
          <xdr:row>9</xdr:row>
          <xdr:rowOff>254000</xdr:rowOff>
        </xdr:to>
        <xdr:sp macro="" textlink="">
          <xdr:nvSpPr>
            <xdr:cNvPr id="12312" name="Check Box 24" hidden="1">
              <a:extLst>
                <a:ext uri="{63B3BB69-23CF-44E3-9099-C40C66FF867C}">
                  <a14:compatExt spid="_x0000_s12312"/>
                </a:ext>
                <a:ext uri="{FF2B5EF4-FFF2-40B4-BE49-F238E27FC236}">
                  <a16:creationId xmlns:a16="http://schemas.microsoft.com/office/drawing/2014/main" id="{00000000-0008-0000-0000-000018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Surveillance II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12700</xdr:colOff>
          <xdr:row>6</xdr:row>
          <xdr:rowOff>850900</xdr:rowOff>
        </xdr:from>
        <xdr:to>
          <xdr:col>11</xdr:col>
          <xdr:colOff>317500</xdr:colOff>
          <xdr:row>8</xdr:row>
          <xdr:rowOff>19050</xdr:rowOff>
        </xdr:to>
        <xdr:sp macro="" textlink="">
          <xdr:nvSpPr>
            <xdr:cNvPr id="12314" name="Check Box 26" hidden="1">
              <a:extLst>
                <a:ext uri="{63B3BB69-23CF-44E3-9099-C40C66FF867C}">
                  <a14:compatExt spid="_x0000_s12314"/>
                </a:ext>
                <a:ext uri="{FF2B5EF4-FFF2-40B4-BE49-F238E27FC236}">
                  <a16:creationId xmlns:a16="http://schemas.microsoft.com/office/drawing/2014/main" id="{00000000-0008-0000-0000-00001A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0" rIns="0" bIns="0" anchor="t" upright="1"/>
            <a:lstStyle/>
            <a:p>
              <a:pPr algn="l" rtl="0">
                <a:defRPr sz="1000"/>
              </a:pPr>
              <a:endParaRPr lang="en-US"/>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44450</xdr:colOff>
          <xdr:row>11</xdr:row>
          <xdr:rowOff>82550</xdr:rowOff>
        </xdr:from>
        <xdr:to>
          <xdr:col>4</xdr:col>
          <xdr:colOff>469900</xdr:colOff>
          <xdr:row>11</xdr:row>
          <xdr:rowOff>298450</xdr:rowOff>
        </xdr:to>
        <xdr:sp macro="" textlink="">
          <xdr:nvSpPr>
            <xdr:cNvPr id="17409" name="Check Box 1" hidden="1">
              <a:extLst>
                <a:ext uri="{63B3BB69-23CF-44E3-9099-C40C66FF867C}">
                  <a14:compatExt spid="_x0000_s17409"/>
                </a:ext>
                <a:ext uri="{FF2B5EF4-FFF2-40B4-BE49-F238E27FC236}">
                  <a16:creationId xmlns:a16="http://schemas.microsoft.com/office/drawing/2014/main" id="{00000000-0008-0000-0100-0000014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ON 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63500</xdr:colOff>
          <xdr:row>11</xdr:row>
          <xdr:rowOff>76200</xdr:rowOff>
        </xdr:from>
        <xdr:to>
          <xdr:col>10</xdr:col>
          <xdr:colOff>171450</xdr:colOff>
          <xdr:row>11</xdr:row>
          <xdr:rowOff>285750</xdr:rowOff>
        </xdr:to>
        <xdr:sp macro="" textlink="">
          <xdr:nvSpPr>
            <xdr:cNvPr id="17410" name="Check Box 2" hidden="1">
              <a:extLst>
                <a:ext uri="{63B3BB69-23CF-44E3-9099-C40C66FF867C}">
                  <a14:compatExt spid="_x0000_s17410"/>
                </a:ext>
                <a:ext uri="{FF2B5EF4-FFF2-40B4-BE49-F238E27FC236}">
                  <a16:creationId xmlns:a16="http://schemas.microsoft.com/office/drawing/2014/main" id="{00000000-0008-0000-0100-0000024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If Online Share meeting link</a:t>
              </a:r>
            </a:p>
          </xdr:txBody>
        </xdr:sp>
        <xdr:clientData/>
      </xdr:twoCellAnchor>
    </mc:Choice>
    <mc:Fallback/>
  </mc:AlternateContent>
  <xdr:twoCellAnchor editAs="oneCell">
    <xdr:from>
      <xdr:col>0</xdr:col>
      <xdr:colOff>279400</xdr:colOff>
      <xdr:row>0</xdr:row>
      <xdr:rowOff>107949</xdr:rowOff>
    </xdr:from>
    <xdr:to>
      <xdr:col>1</xdr:col>
      <xdr:colOff>402302</xdr:colOff>
      <xdr:row>0</xdr:row>
      <xdr:rowOff>676168</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79400" y="107315"/>
          <a:ext cx="535305" cy="56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323850</xdr:colOff>
      <xdr:row>0</xdr:row>
      <xdr:rowOff>114300</xdr:rowOff>
    </xdr:from>
    <xdr:to>
      <xdr:col>1</xdr:col>
      <xdr:colOff>478502</xdr:colOff>
      <xdr:row>0</xdr:row>
      <xdr:rowOff>682519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23850" y="114300"/>
          <a:ext cx="535305" cy="567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444500</xdr:colOff>
      <xdr:row>0</xdr:row>
      <xdr:rowOff>196850</xdr:rowOff>
    </xdr:from>
    <xdr:to>
      <xdr:col>1</xdr:col>
      <xdr:colOff>486263</xdr:colOff>
      <xdr:row>0</xdr:row>
      <xdr:rowOff>765069</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44500" y="196850"/>
          <a:ext cx="536575" cy="567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393699</xdr:colOff>
      <xdr:row>0</xdr:row>
      <xdr:rowOff>84363</xdr:rowOff>
    </xdr:from>
    <xdr:to>
      <xdr:col>1</xdr:col>
      <xdr:colOff>349250</xdr:colOff>
      <xdr:row>3</xdr:row>
      <xdr:rowOff>103251</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393065" y="83820"/>
          <a:ext cx="565785" cy="571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279400</xdr:colOff>
          <xdr:row>17</xdr:row>
          <xdr:rowOff>50800</xdr:rowOff>
        </xdr:from>
        <xdr:to>
          <xdr:col>3</xdr:col>
          <xdr:colOff>495300</xdr:colOff>
          <xdr:row>17</xdr:row>
          <xdr:rowOff>311150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17</xdr:row>
          <xdr:rowOff>76200</xdr:rowOff>
        </xdr:from>
        <xdr:to>
          <xdr:col>5</xdr:col>
          <xdr:colOff>31750</xdr:colOff>
          <xdr:row>17</xdr:row>
          <xdr:rowOff>311150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0</xdr:col>
      <xdr:colOff>45358</xdr:colOff>
      <xdr:row>0</xdr:row>
      <xdr:rowOff>45357</xdr:rowOff>
    </xdr:from>
    <xdr:to>
      <xdr:col>0</xdr:col>
      <xdr:colOff>888999</xdr:colOff>
      <xdr:row>0</xdr:row>
      <xdr:rowOff>738028</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5085" y="45085"/>
          <a:ext cx="843280" cy="692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395816</xdr:colOff>
      <xdr:row>17</xdr:row>
      <xdr:rowOff>143227</xdr:rowOff>
    </xdr:from>
    <xdr:to>
      <xdr:col>6</xdr:col>
      <xdr:colOff>440266</xdr:colOff>
      <xdr:row>20</xdr:row>
      <xdr:rowOff>188383</xdr:rowOff>
    </xdr:to>
    <xdr:pic>
      <xdr:nvPicPr>
        <xdr:cNvPr id="3" name="Picture 6">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967355" y="4632325"/>
          <a:ext cx="67310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49805</xdr:colOff>
      <xdr:row>0</xdr:row>
      <xdr:rowOff>29469</xdr:rowOff>
    </xdr:from>
    <xdr:to>
      <xdr:col>2</xdr:col>
      <xdr:colOff>143681</xdr:colOff>
      <xdr:row>2</xdr:row>
      <xdr:rowOff>365646</xdr:rowOff>
    </xdr:to>
    <xdr:pic>
      <xdr:nvPicPr>
        <xdr:cNvPr id="4" name="Picture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06680" y="29210"/>
          <a:ext cx="722630" cy="704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ll/Desktop/SURVILLANCE/AELTO&amp;TSP_9001/AELTO&amp;TSP_9001/Audit%20Reports/Audit%20Report-AELTO-QM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ell/Box/QCC-Audit%20Report/2510/admin/QCC-Audit%20Report-PACKTECH%20MATERIALS%20PRIVATE%20LIMITED-QMS-C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DELL/Box/Gaurav-Audit%20Report/12-IAF%20C0de-04-RAJ%20TEXTILE-QMS-CA/QCC-RAJ%20TEXTILE%20Audit%20Report%20for%20QM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i/New%20folder/Master_Report/YASHJEET%20BUILDERS%20AND%20CONSTRUCTION-EMS-C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DELL/Box/QCC-Audit%20Report/5195/admin/Audit%20Report%20THREAD%20SOLACE%20PRIVATE%20LIMITED%20-QMS-C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
      <sheetName val="F02 Application Form"/>
      <sheetName val="F03 App Rev &amp; F03-01 Aud Pln"/>
      <sheetName val="F03A Audit Planning for 3 years"/>
      <sheetName val="F-03 Auditor(s) Declaration"/>
      <sheetName val="F05&amp;F06 S1Plan&amp;Schedule"/>
      <sheetName val="F07 S1Opening&amp;Closing Meeting"/>
      <sheetName val="F09A S1Report"/>
      <sheetName val="F11&amp;F12 S2Plan&amp;Schedule"/>
      <sheetName val="F07 S2 Open&amp;Clos Meeting"/>
      <sheetName val="F15A S2Report"/>
      <sheetName val="F16&amp;F17 CAR"/>
      <sheetName val="AUD-F-17 CAR"/>
      <sheetName val="AUD-F-21 Draft"/>
      <sheetName val="Sheet7"/>
      <sheetName val="Sheet6"/>
      <sheetName val="Sheet5"/>
      <sheetName val="Sheet4"/>
      <sheetName val="Sheet3"/>
      <sheetName val="Sheet2"/>
      <sheetName val="Sheet1"/>
      <sheetName val="AUD-F-22-REVIEW REPORT"/>
      <sheetName val="DATA"/>
      <sheetName val="LIST"/>
    </sheetNames>
    <sheetDataSet>
      <sheetData sheetId="0" refreshError="1"/>
      <sheetData sheetId="1" refreshError="1"/>
      <sheetData sheetId="2" refreshError="1">
        <row r="8">
          <cell r="B8" t="str">
            <v>ISO 9001:2015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3">
          <cell r="D3" t="str">
            <v>ISO 9001:2015</v>
          </cell>
        </row>
        <row r="24">
          <cell r="D24" t="str">
            <v>Lead Auditor</v>
          </cell>
        </row>
        <row r="56">
          <cell r="D56" t="str">
            <v>N/A</v>
          </cell>
        </row>
      </sheetData>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
      <sheetName val="F02 Application Form"/>
      <sheetName val="F03 App Rev &amp; F03-01 Aud Pln"/>
      <sheetName val="F03A Audit Planning for 3 years"/>
      <sheetName val="F-03 Auditor(s) Declaration"/>
      <sheetName val="F05&amp;F06 S1Plan&amp;Schedule"/>
      <sheetName val="F07 S1Opening&amp;Closing Meeting"/>
      <sheetName val="F09A S1Report"/>
      <sheetName val="F11&amp;F12 S2Plan&amp;Schedule"/>
      <sheetName val="F07 S2 Open&amp;Clos Meeting"/>
      <sheetName val="F15A S2Report"/>
      <sheetName val="F16&amp;F17 CAR"/>
      <sheetName val="AUD-F-17 CAR"/>
      <sheetName val="AUD-F-21 Draft"/>
      <sheetName val="AUD-F-22-REVIEW REPORT"/>
      <sheetName val="DATA"/>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dex "/>
      <sheetName val="F02 Application Form"/>
      <sheetName val="F03 App Rev &amp; F03-01 Aud Pln"/>
      <sheetName val="F03A Audit Planning for 3 years"/>
      <sheetName val="F-03 Auditor(s) Declaration"/>
      <sheetName val="F05&amp;F06 S1Plan&amp;Schedule"/>
      <sheetName val="F07 S1Opening&amp;Closing Meeting"/>
      <sheetName val="F09A S1Report"/>
      <sheetName val="F11&amp;F12 S2Plan&amp;Schedule"/>
      <sheetName val="F07 S2 Open&amp;Clos Meeting"/>
      <sheetName val="F15A S2Report"/>
      <sheetName val="F16&amp;F17 CAR"/>
      <sheetName val="F24 CD"/>
      <sheetName val="F09B &amp; 15B Aud Nts"/>
      <sheetName val="AUD-F-21 Draft"/>
    </sheetNames>
    <sheetDataSet>
      <sheetData sheetId="0" refreshError="1"/>
      <sheetData sheetId="1" refreshError="1"/>
      <sheetData sheetId="2" refreshError="1"/>
      <sheetData sheetId="3" refreshError="1">
        <row r="20">
          <cell r="C20" t="str">
            <v>satyajeet@qccert.in</v>
          </cell>
          <cell r="D20" t="str">
            <v>ISO 9001:2015</v>
          </cell>
          <cell r="E20">
            <v>4</v>
          </cell>
          <cell r="G20">
            <v>1.5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1"/>
      <sheetName val="Index "/>
      <sheetName val="F02 Application Form"/>
      <sheetName val="F03 App Rev &amp; F03-01 Aud Pln"/>
      <sheetName val="F03A Audit Planning for 3 years"/>
      <sheetName val="F-03 Auditor(s) Declaration"/>
      <sheetName val="F05&amp;F06 S1Plan&amp;Schedule"/>
      <sheetName val="F07 S1Opening&amp;Closing Meeting"/>
      <sheetName val="F09A S1Report"/>
      <sheetName val="F11&amp;F12 S2Plan&amp;Schedule"/>
      <sheetName val="F07 S2 Open&amp;Clos Meeting"/>
      <sheetName val="F15A S2Report"/>
      <sheetName val="F16&amp;F17 CAR"/>
      <sheetName val="F24 CD"/>
      <sheetName val="F09B &amp; 15B Aud Nts"/>
      <sheetName val="AUD-F-17 CAR"/>
      <sheetName val="AUD-F-21 Draft"/>
      <sheetName val="AUD-F-22 REVIEW REPORT"/>
      <sheetName val="DAT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
      <sheetName val="F02 Application Form"/>
      <sheetName val="F03 App Rev &amp; F03-01 Aud Pln"/>
      <sheetName val="F03A Audit Planning for 3 years"/>
      <sheetName val="F-03 Auditor(s) Declaration"/>
      <sheetName val="F05&amp;F06 S1Plan&amp;Schedule"/>
      <sheetName val="F07 S1Opening&amp;Closing Meeting"/>
      <sheetName val="F09A S1Report"/>
      <sheetName val="F11&amp;F12 S2Plan&amp;Schedule"/>
      <sheetName val="F07 S2 Open&amp;Clos Meeting"/>
      <sheetName val="F15A S2Report"/>
      <sheetName val="F16&amp;F17 CAR"/>
      <sheetName val="AUD-F-17 CAR"/>
      <sheetName val="AUD-F-21 Draft"/>
      <sheetName val="Sheet7"/>
      <sheetName val="Sheet6"/>
      <sheetName val="Sheet5"/>
      <sheetName val="Sheet4"/>
      <sheetName val="Sheet3"/>
      <sheetName val="Sheet2"/>
      <sheetName val="Sheet1"/>
      <sheetName val="AUD-F-22-REVIEW REPORT"/>
      <sheetName val="DATA"/>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2">
          <cell r="D42">
            <v>45817</v>
          </cell>
        </row>
      </sheetData>
      <sheetData sheetId="2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18" Type="http://schemas.openxmlformats.org/officeDocument/2006/relationships/ctrlProp" Target="../ctrlProps/ctrlProp14.xml"/><Relationship Id="rId3" Type="http://schemas.openxmlformats.org/officeDocument/2006/relationships/drawing" Target="../drawings/drawing1.xml"/><Relationship Id="rId21" Type="http://schemas.openxmlformats.org/officeDocument/2006/relationships/ctrlProp" Target="../ctrlProps/ctrlProp17.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0" Type="http://schemas.openxmlformats.org/officeDocument/2006/relationships/ctrlProp" Target="../ctrlProps/ctrlProp16.xml"/><Relationship Id="rId1" Type="http://schemas.openxmlformats.org/officeDocument/2006/relationships/hyperlink" Target="mailto:manish@gmail.com" TargetMode="External"/><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10" Type="http://schemas.openxmlformats.org/officeDocument/2006/relationships/ctrlProp" Target="../ctrlProps/ctrlProp6.xml"/><Relationship Id="rId19" Type="http://schemas.openxmlformats.org/officeDocument/2006/relationships/ctrlProp" Target="../ctrlProps/ctrlProp15.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mailto:meraj@gmail.com" TargetMode="External"/><Relationship Id="rId6" Type="http://schemas.openxmlformats.org/officeDocument/2006/relationships/comments" Target="../comments1.xml"/><Relationship Id="rId5" Type="http://schemas.openxmlformats.org/officeDocument/2006/relationships/ctrlProp" Target="../ctrlProps/ctrlProp22.xml"/><Relationship Id="rId4"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SUHAIL@QCCERT.I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23.xml"/><Relationship Id="rId2" Type="http://schemas.openxmlformats.org/officeDocument/2006/relationships/vmlDrawing" Target="../drawings/vmlDrawing3.vml"/><Relationship Id="rId1" Type="http://schemas.openxmlformats.org/officeDocument/2006/relationships/drawing" Target="../drawings/drawing6.xml"/><Relationship Id="rId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34"/>
  <sheetViews>
    <sheetView topLeftCell="A16" zoomScaleNormal="100" workbookViewId="0">
      <selection activeCell="B27" sqref="B27:M27"/>
    </sheetView>
  </sheetViews>
  <sheetFormatPr defaultColWidth="12" defaultRowHeight="14.5"/>
  <cols>
    <col min="1" max="1" width="31" style="60" customWidth="1"/>
    <col min="2" max="2" width="4.54296875" style="60" customWidth="1"/>
    <col min="3" max="3" width="8.90625" style="60" customWidth="1"/>
    <col min="4" max="4" width="3.453125" style="60" customWidth="1"/>
    <col min="5" max="5" width="10.90625" style="60" customWidth="1"/>
    <col min="6" max="6" width="10.36328125" style="60" customWidth="1"/>
    <col min="7" max="7" width="6" style="60" customWidth="1"/>
    <col min="8" max="8" width="5.08984375" style="60" customWidth="1"/>
    <col min="9" max="9" width="11.90625" style="60" customWidth="1"/>
    <col min="10" max="10" width="7.6328125" style="60" customWidth="1"/>
    <col min="11" max="11" width="11.6328125" style="60" customWidth="1"/>
    <col min="12" max="12" width="9.81640625" style="60" customWidth="1"/>
    <col min="13" max="13" width="13.81640625" style="60" customWidth="1"/>
    <col min="14" max="16384" width="12" style="60"/>
  </cols>
  <sheetData>
    <row r="1" spans="1:15" ht="53" customHeight="1">
      <c r="A1" s="77" t="s">
        <v>0</v>
      </c>
      <c r="B1" s="77"/>
      <c r="C1" s="77"/>
      <c r="D1" s="77"/>
      <c r="E1" s="77"/>
      <c r="F1" s="77"/>
      <c r="G1" s="77"/>
      <c r="H1" s="77"/>
      <c r="I1" s="77"/>
      <c r="J1" s="77"/>
      <c r="K1" s="77"/>
      <c r="L1" s="77"/>
      <c r="M1" s="77"/>
      <c r="O1" s="68"/>
    </row>
    <row r="2" spans="1:15" ht="19" customHeight="1">
      <c r="A2" s="61" t="s">
        <v>1</v>
      </c>
      <c r="B2" s="78">
        <v>3582</v>
      </c>
      <c r="C2" s="79"/>
      <c r="D2" s="79"/>
      <c r="E2" s="79"/>
      <c r="F2" s="79"/>
      <c r="G2" s="79"/>
      <c r="H2" s="79"/>
      <c r="I2" s="79"/>
      <c r="J2" s="79"/>
      <c r="K2" s="79"/>
      <c r="L2" s="79"/>
      <c r="M2" s="80"/>
      <c r="O2" s="68"/>
    </row>
    <row r="3" spans="1:15" ht="26" customHeight="1">
      <c r="A3" s="61" t="s">
        <v>2</v>
      </c>
      <c r="B3" s="81" t="s">
        <v>288</v>
      </c>
      <c r="C3" s="81"/>
      <c r="D3" s="81"/>
      <c r="E3" s="81"/>
      <c r="F3" s="81"/>
      <c r="G3" s="81"/>
      <c r="H3" s="81"/>
      <c r="I3" s="81"/>
      <c r="J3" s="81"/>
      <c r="K3" s="81"/>
      <c r="L3" s="81"/>
      <c r="M3" s="81"/>
    </row>
    <row r="4" spans="1:15" ht="48" customHeight="1">
      <c r="A4" s="61" t="s">
        <v>3</v>
      </c>
      <c r="B4" s="81" t="s">
        <v>290</v>
      </c>
      <c r="C4" s="81"/>
      <c r="D4" s="81"/>
      <c r="E4" s="81"/>
      <c r="F4" s="81"/>
      <c r="G4" s="81"/>
      <c r="H4" s="81"/>
      <c r="I4" s="81"/>
      <c r="J4" s="81"/>
      <c r="K4" s="81"/>
      <c r="L4" s="81"/>
      <c r="M4" s="81"/>
    </row>
    <row r="5" spans="1:15" ht="23" customHeight="1">
      <c r="A5" s="61" t="s">
        <v>4</v>
      </c>
      <c r="B5" s="82" t="s">
        <v>294</v>
      </c>
      <c r="C5" s="82"/>
      <c r="D5" s="82"/>
      <c r="E5" s="82"/>
      <c r="F5" s="83" t="s">
        <v>5</v>
      </c>
      <c r="G5" s="83"/>
      <c r="H5" s="83"/>
      <c r="I5" s="84" t="s">
        <v>293</v>
      </c>
      <c r="J5" s="85"/>
      <c r="K5" s="85"/>
      <c r="L5" s="85"/>
      <c r="M5" s="85"/>
    </row>
    <row r="6" spans="1:15" ht="22.25" customHeight="1">
      <c r="A6" s="61" t="s">
        <v>6</v>
      </c>
      <c r="B6" s="85" t="s">
        <v>291</v>
      </c>
      <c r="C6" s="85"/>
      <c r="D6" s="85"/>
      <c r="E6" s="85"/>
      <c r="F6" s="83" t="s">
        <v>7</v>
      </c>
      <c r="G6" s="83"/>
      <c r="H6" s="83"/>
      <c r="I6" s="85" t="s">
        <v>292</v>
      </c>
      <c r="J6" s="85"/>
      <c r="K6" s="85"/>
      <c r="L6" s="85"/>
      <c r="M6" s="85"/>
    </row>
    <row r="7" spans="1:15" ht="58" customHeight="1">
      <c r="A7" s="61" t="s">
        <v>8</v>
      </c>
      <c r="B7" s="81" t="s">
        <v>289</v>
      </c>
      <c r="C7" s="81"/>
      <c r="D7" s="81"/>
      <c r="E7" s="81"/>
      <c r="F7" s="81"/>
      <c r="G7" s="81"/>
      <c r="H7" s="81"/>
      <c r="I7" s="81"/>
      <c r="J7" s="81"/>
      <c r="K7" s="81"/>
      <c r="L7" s="81"/>
      <c r="M7" s="81"/>
    </row>
    <row r="8" spans="1:15" ht="18" customHeight="1">
      <c r="A8" s="107" t="s">
        <v>9</v>
      </c>
      <c r="B8" s="86"/>
      <c r="C8" s="87"/>
      <c r="D8" s="86"/>
      <c r="E8" s="87"/>
      <c r="F8" s="86"/>
      <c r="G8" s="87"/>
      <c r="H8" s="88"/>
      <c r="I8" s="88"/>
      <c r="J8" s="89"/>
      <c r="K8" s="90"/>
      <c r="L8" s="90"/>
      <c r="M8" s="91"/>
    </row>
    <row r="9" spans="1:15" ht="21.75" customHeight="1">
      <c r="A9" s="108"/>
      <c r="B9" s="92" t="s">
        <v>10</v>
      </c>
      <c r="C9" s="93"/>
      <c r="D9" s="92" t="s">
        <v>11</v>
      </c>
      <c r="E9" s="93"/>
      <c r="F9" s="92" t="s">
        <v>12</v>
      </c>
      <c r="G9" s="93"/>
      <c r="H9" s="94" t="s">
        <v>13</v>
      </c>
      <c r="I9" s="94"/>
      <c r="J9" s="89" t="s">
        <v>14</v>
      </c>
      <c r="K9" s="90"/>
      <c r="L9" s="90"/>
      <c r="M9" s="91"/>
    </row>
    <row r="10" spans="1:15" ht="22" customHeight="1">
      <c r="A10" s="62" t="s">
        <v>15</v>
      </c>
      <c r="B10" s="95" t="s">
        <v>16</v>
      </c>
      <c r="C10" s="96"/>
      <c r="D10" s="96"/>
      <c r="E10" s="96"/>
      <c r="F10" s="96"/>
      <c r="G10" s="96"/>
      <c r="H10" s="96"/>
      <c r="I10" s="96"/>
      <c r="J10" s="96"/>
      <c r="K10" s="96"/>
      <c r="L10" s="96"/>
      <c r="M10" s="97"/>
    </row>
    <row r="11" spans="1:15" ht="20" customHeight="1">
      <c r="A11" s="62" t="s">
        <v>17</v>
      </c>
      <c r="B11" s="98" t="s">
        <v>18</v>
      </c>
      <c r="C11" s="99"/>
      <c r="D11" s="99"/>
      <c r="E11" s="99"/>
      <c r="F11" s="99"/>
      <c r="G11" s="99"/>
      <c r="H11" s="99"/>
      <c r="I11" s="99"/>
      <c r="J11" s="99"/>
      <c r="K11" s="99"/>
      <c r="L11" s="99"/>
      <c r="M11" s="100"/>
    </row>
    <row r="12" spans="1:15" ht="21.5" customHeight="1">
      <c r="A12" s="62" t="s">
        <v>19</v>
      </c>
      <c r="B12" s="101"/>
      <c r="C12" s="102"/>
      <c r="D12" s="102"/>
      <c r="E12" s="102"/>
      <c r="F12" s="102" t="s">
        <v>20</v>
      </c>
      <c r="G12" s="102"/>
      <c r="H12" s="102"/>
      <c r="I12" s="102"/>
      <c r="J12" s="102"/>
      <c r="K12" s="102"/>
      <c r="L12" s="102"/>
      <c r="M12" s="103"/>
    </row>
    <row r="13" spans="1:15" ht="21.5" customHeight="1">
      <c r="A13" s="62" t="s">
        <v>21</v>
      </c>
      <c r="B13" s="101"/>
      <c r="C13" s="102"/>
      <c r="D13" s="102"/>
      <c r="E13" s="102"/>
      <c r="F13" s="102" t="s">
        <v>20</v>
      </c>
      <c r="G13" s="102"/>
      <c r="H13" s="102"/>
      <c r="I13" s="102"/>
      <c r="J13" s="102"/>
      <c r="K13" s="102"/>
      <c r="L13" s="102"/>
      <c r="M13" s="103"/>
    </row>
    <row r="14" spans="1:15" ht="21.5" customHeight="1">
      <c r="A14" s="62" t="s">
        <v>22</v>
      </c>
      <c r="B14" s="101"/>
      <c r="C14" s="102"/>
      <c r="D14" s="102"/>
      <c r="E14" s="102"/>
      <c r="F14" s="102" t="s">
        <v>20</v>
      </c>
      <c r="G14" s="102"/>
      <c r="H14" s="102"/>
      <c r="I14" s="102"/>
      <c r="J14" s="102"/>
      <c r="K14" s="102"/>
      <c r="L14" s="102"/>
      <c r="M14" s="103"/>
    </row>
    <row r="15" spans="1:15" ht="19" customHeight="1">
      <c r="A15" s="62" t="s">
        <v>23</v>
      </c>
      <c r="B15" s="101"/>
      <c r="C15" s="102"/>
      <c r="D15" s="102"/>
      <c r="E15" s="102"/>
      <c r="F15" s="102" t="s">
        <v>24</v>
      </c>
      <c r="G15" s="102"/>
      <c r="H15" s="102"/>
      <c r="I15" s="102"/>
      <c r="J15" s="102"/>
      <c r="K15" s="102"/>
      <c r="L15" s="102"/>
      <c r="M15" s="103"/>
    </row>
    <row r="16" spans="1:15" ht="20.5" customHeight="1">
      <c r="A16" s="62" t="s">
        <v>25</v>
      </c>
      <c r="B16" s="101"/>
      <c r="C16" s="102"/>
      <c r="D16" s="102"/>
      <c r="E16" s="102"/>
      <c r="F16" s="102" t="s">
        <v>20</v>
      </c>
      <c r="G16" s="102"/>
      <c r="H16" s="102"/>
      <c r="I16" s="102"/>
      <c r="J16" s="102"/>
      <c r="K16" s="102"/>
      <c r="L16" s="102"/>
      <c r="M16" s="103"/>
    </row>
    <row r="17" spans="1:13" ht="32.5" customHeight="1">
      <c r="A17" s="62" t="s">
        <v>26</v>
      </c>
      <c r="B17" s="101"/>
      <c r="C17" s="102"/>
      <c r="D17" s="102"/>
      <c r="E17" s="102"/>
      <c r="F17" s="102" t="s">
        <v>20</v>
      </c>
      <c r="G17" s="102"/>
      <c r="H17" s="102"/>
      <c r="I17" s="102"/>
      <c r="J17" s="102"/>
      <c r="K17" s="102"/>
      <c r="L17" s="102"/>
      <c r="M17" s="103"/>
    </row>
    <row r="18" spans="1:13" ht="22.5" customHeight="1">
      <c r="A18" s="62" t="s">
        <v>27</v>
      </c>
      <c r="B18" s="101">
        <v>2</v>
      </c>
      <c r="C18" s="102"/>
      <c r="D18" s="102"/>
      <c r="E18" s="102"/>
      <c r="F18" s="102"/>
      <c r="G18" s="102"/>
      <c r="H18" s="102"/>
      <c r="I18" s="102"/>
      <c r="J18" s="102"/>
      <c r="K18" s="102"/>
      <c r="L18" s="102"/>
      <c r="M18" s="103"/>
    </row>
    <row r="19" spans="1:13" ht="20" customHeight="1">
      <c r="A19" s="62" t="s">
        <v>28</v>
      </c>
      <c r="B19" s="101" t="s">
        <v>29</v>
      </c>
      <c r="C19" s="102"/>
      <c r="D19" s="102"/>
      <c r="E19" s="102"/>
      <c r="F19" s="102"/>
      <c r="G19" s="102"/>
      <c r="H19" s="102"/>
      <c r="I19" s="102"/>
      <c r="J19" s="102"/>
      <c r="K19" s="102"/>
      <c r="L19" s="102"/>
      <c r="M19" s="103"/>
    </row>
    <row r="20" spans="1:13" ht="22.5" customHeight="1">
      <c r="A20" s="62" t="s">
        <v>30</v>
      </c>
      <c r="B20" s="101" t="s">
        <v>31</v>
      </c>
      <c r="C20" s="102"/>
      <c r="D20" s="102"/>
      <c r="E20" s="102"/>
      <c r="F20" s="102"/>
      <c r="G20" s="102"/>
      <c r="H20" s="102"/>
      <c r="I20" s="102"/>
      <c r="J20" s="102"/>
      <c r="K20" s="102"/>
      <c r="L20" s="102"/>
      <c r="M20" s="103"/>
    </row>
    <row r="21" spans="1:13" ht="22" customHeight="1">
      <c r="A21" s="113" t="s">
        <v>32</v>
      </c>
      <c r="B21" s="113"/>
      <c r="C21" s="113"/>
      <c r="D21" s="113"/>
      <c r="E21" s="113"/>
      <c r="F21" s="113"/>
      <c r="G21" s="113"/>
      <c r="H21" s="113"/>
      <c r="I21" s="113"/>
      <c r="J21" s="113"/>
      <c r="K21" s="113"/>
      <c r="L21" s="113"/>
      <c r="M21" s="113"/>
    </row>
    <row r="22" spans="1:13" ht="25.5" customHeight="1">
      <c r="A22" s="62" t="s">
        <v>33</v>
      </c>
      <c r="B22" s="63" t="s">
        <v>34</v>
      </c>
      <c r="C22" s="114">
        <v>0.5</v>
      </c>
      <c r="D22" s="114"/>
      <c r="E22" s="65" t="s">
        <v>35</v>
      </c>
      <c r="F22" s="64">
        <v>1.5</v>
      </c>
      <c r="G22" s="66"/>
      <c r="H22" s="66"/>
      <c r="I22" s="66"/>
      <c r="J22" s="66"/>
      <c r="K22" s="66"/>
      <c r="L22" s="66"/>
      <c r="M22" s="69">
        <f>(C22+F22)/3</f>
        <v>0.66666666666666663</v>
      </c>
    </row>
    <row r="23" spans="1:13" ht="20" customHeight="1">
      <c r="A23" s="62" t="s">
        <v>36</v>
      </c>
      <c r="B23" s="115" cm="1">
        <f t="array" ref="B23">_xlfn.IFS(
    AND(M22&gt;=0.5, M22&lt;=1.39), 1,
    AND(M22&gt;=1.4, M22&lt;=1.79), 1.5,
    AND(M22&gt;=1.8, M22&lt;=2.39), 2,
    AND(M22&gt;=2.4, M22&lt;=2.89), 2.5,
    AND(M22&gt;=3, M22&lt;=3.49), 3,
    AND(M22&gt;=3.5, M22&lt;=3.99), 3.5,
    AND(M22&gt;=4, M22&lt;=4.49), 4,
    AND(M22&gt;=4.5, M22&lt;=4.99), 4.5,
    AND(M22&gt;=5, M22&lt;=5.49), 5,
    AND(M22&gt;=5.5, M22&lt;=5.99), 5.5,
    AND(M22&gt;=6, M22&lt;=6.49), 6,
    AND(M22&gt;=6.5, M22&lt;=6.99), 6.5,
    AND(M22&gt;=7, M22&lt;=7.49), 7,
    AND(M22&gt;=7.5, M22&lt;=7.99), 7.5,
    AND(M22&gt;=8, M22&lt;=8.49), 8,
    AND(M22&gt;=8.5, M22&lt;=8.99), 8.5,
    AND(M22&gt;=9, M22&lt;=9.49), 9,
    AND(M22&gt;=9.5, M22&lt;=9.99), 9.5,
    AND(M22&gt;=10, M22&lt;=10.49), 10,
    TRUE, "Value out of range"
)</f>
        <v>1</v>
      </c>
      <c r="C23" s="116"/>
      <c r="D23" s="116"/>
      <c r="E23" s="116"/>
      <c r="F23" s="116"/>
      <c r="G23" s="116"/>
      <c r="H23" s="116"/>
      <c r="I23" s="116"/>
      <c r="J23" s="116"/>
      <c r="K23" s="116"/>
      <c r="L23" s="116"/>
      <c r="M23" s="117"/>
    </row>
    <row r="24" spans="1:13" ht="22" customHeight="1">
      <c r="A24" s="62" t="s">
        <v>37</v>
      </c>
      <c r="B24" s="112">
        <v>46039</v>
      </c>
      <c r="C24" s="110"/>
      <c r="D24" s="110"/>
      <c r="E24" s="110"/>
      <c r="F24" s="110"/>
      <c r="G24" s="110"/>
      <c r="H24" s="110"/>
      <c r="I24" s="110"/>
      <c r="J24" s="110"/>
      <c r="K24" s="110"/>
      <c r="L24" s="110"/>
      <c r="M24" s="111"/>
    </row>
    <row r="25" spans="1:13" ht="19" customHeight="1">
      <c r="A25" s="62" t="s">
        <v>38</v>
      </c>
      <c r="B25" s="112">
        <v>46046</v>
      </c>
      <c r="C25" s="110"/>
      <c r="D25" s="110"/>
      <c r="E25" s="67" t="s">
        <v>39</v>
      </c>
      <c r="F25" s="118">
        <v>46046</v>
      </c>
      <c r="G25" s="110"/>
      <c r="H25" s="67"/>
      <c r="I25" s="67"/>
      <c r="J25" s="67"/>
      <c r="K25" s="67"/>
      <c r="L25" s="67"/>
      <c r="M25" s="70"/>
    </row>
    <row r="26" spans="1:13" ht="20" customHeight="1">
      <c r="A26" s="62" t="s">
        <v>40</v>
      </c>
      <c r="B26" s="109">
        <v>35</v>
      </c>
      <c r="C26" s="110"/>
      <c r="D26" s="110"/>
      <c r="E26" s="110"/>
      <c r="F26" s="110"/>
      <c r="G26" s="110"/>
      <c r="H26" s="110"/>
      <c r="I26" s="110"/>
      <c r="J26" s="110"/>
      <c r="K26" s="110"/>
      <c r="L26" s="110"/>
      <c r="M26" s="111"/>
    </row>
    <row r="27" spans="1:13" ht="21.5" customHeight="1">
      <c r="A27" s="62" t="s">
        <v>41</v>
      </c>
      <c r="B27" s="109" t="s">
        <v>295</v>
      </c>
      <c r="C27" s="110"/>
      <c r="D27" s="110"/>
      <c r="E27" s="110"/>
      <c r="F27" s="110"/>
      <c r="G27" s="110"/>
      <c r="H27" s="110"/>
      <c r="I27" s="110"/>
      <c r="J27" s="110"/>
      <c r="K27" s="110"/>
      <c r="L27" s="110"/>
      <c r="M27" s="111"/>
    </row>
    <row r="28" spans="1:13" ht="17.5" customHeight="1">
      <c r="A28" s="62" t="s">
        <v>42</v>
      </c>
      <c r="B28" s="109" t="s">
        <v>31</v>
      </c>
      <c r="C28" s="110"/>
      <c r="D28" s="110"/>
      <c r="E28" s="110"/>
      <c r="F28" s="110"/>
      <c r="G28" s="110"/>
      <c r="H28" s="110"/>
      <c r="I28" s="110"/>
      <c r="J28" s="110"/>
      <c r="K28" s="110"/>
      <c r="L28" s="110"/>
      <c r="M28" s="111"/>
    </row>
    <row r="29" spans="1:13" ht="20" customHeight="1">
      <c r="A29" s="62" t="s">
        <v>43</v>
      </c>
      <c r="B29" s="112">
        <v>45985</v>
      </c>
      <c r="C29" s="110"/>
      <c r="D29" s="110"/>
      <c r="E29" s="110"/>
      <c r="F29" s="110"/>
      <c r="G29" s="110"/>
      <c r="H29" s="110"/>
      <c r="I29" s="110"/>
      <c r="J29" s="110"/>
      <c r="K29" s="110"/>
      <c r="L29" s="110"/>
      <c r="M29" s="111"/>
    </row>
    <row r="30" spans="1:13" ht="21" customHeight="1">
      <c r="A30" s="62" t="s">
        <v>44</v>
      </c>
      <c r="B30" s="109" t="s">
        <v>296</v>
      </c>
      <c r="C30" s="110"/>
      <c r="D30" s="110"/>
      <c r="E30" s="110"/>
      <c r="F30" s="110"/>
      <c r="G30" s="110"/>
      <c r="H30" s="110"/>
      <c r="I30" s="110"/>
      <c r="J30" s="110"/>
      <c r="K30" s="110"/>
      <c r="L30" s="110"/>
      <c r="M30" s="111"/>
    </row>
    <row r="31" spans="1:13" ht="14.5" customHeight="1">
      <c r="A31" s="104" t="s">
        <v>45</v>
      </c>
      <c r="B31" s="105"/>
      <c r="C31" s="105"/>
      <c r="D31" s="105"/>
      <c r="E31" s="105"/>
      <c r="F31" s="105"/>
      <c r="G31" s="105"/>
      <c r="H31" s="105"/>
      <c r="I31" s="105"/>
      <c r="J31" s="105"/>
      <c r="K31" s="105"/>
      <c r="L31" s="105"/>
      <c r="M31" s="106"/>
    </row>
    <row r="34" spans="10:10">
      <c r="J34" s="71"/>
    </row>
  </sheetData>
  <mergeCells count="51">
    <mergeCell ref="A31:M31"/>
    <mergeCell ref="A8:A9"/>
    <mergeCell ref="B26:M26"/>
    <mergeCell ref="B27:M27"/>
    <mergeCell ref="B28:M28"/>
    <mergeCell ref="B29:M29"/>
    <mergeCell ref="B30:M30"/>
    <mergeCell ref="A21:M21"/>
    <mergeCell ref="C22:D22"/>
    <mergeCell ref="B23:M23"/>
    <mergeCell ref="B24:M24"/>
    <mergeCell ref="B25:D25"/>
    <mergeCell ref="F25:G25"/>
    <mergeCell ref="B17:E17"/>
    <mergeCell ref="F17:M17"/>
    <mergeCell ref="B18:M18"/>
    <mergeCell ref="B19:M19"/>
    <mergeCell ref="B20:M20"/>
    <mergeCell ref="B14:E14"/>
    <mergeCell ref="F14:M14"/>
    <mergeCell ref="B15:E15"/>
    <mergeCell ref="F15:M15"/>
    <mergeCell ref="B16:E16"/>
    <mergeCell ref="F16:M16"/>
    <mergeCell ref="B10:M10"/>
    <mergeCell ref="B11:M11"/>
    <mergeCell ref="B12:E12"/>
    <mergeCell ref="F12:M12"/>
    <mergeCell ref="B13:E13"/>
    <mergeCell ref="F13:M13"/>
    <mergeCell ref="B9:C9"/>
    <mergeCell ref="D9:E9"/>
    <mergeCell ref="F9:G9"/>
    <mergeCell ref="H9:I9"/>
    <mergeCell ref="J9:M9"/>
    <mergeCell ref="B6:E6"/>
    <mergeCell ref="F6:H6"/>
    <mergeCell ref="I6:M6"/>
    <mergeCell ref="B7:M7"/>
    <mergeCell ref="B8:C8"/>
    <mergeCell ref="D8:E8"/>
    <mergeCell ref="F8:G8"/>
    <mergeCell ref="H8:I8"/>
    <mergeCell ref="J8:M8"/>
    <mergeCell ref="A1:M1"/>
    <mergeCell ref="B2:M2"/>
    <mergeCell ref="B3:M3"/>
    <mergeCell ref="B4:M4"/>
    <mergeCell ref="B5:E5"/>
    <mergeCell ref="F5:H5"/>
    <mergeCell ref="I5:M5"/>
  </mergeCells>
  <hyperlinks>
    <hyperlink ref="I5" r:id="rId1" xr:uid="{3529563F-FE02-46DE-AA46-6E61AF2FFA19}"/>
  </hyperlinks>
  <pageMargins left="0.7" right="0.7" top="0.75" bottom="0.75" header="0.3" footer="0.3"/>
  <pageSetup scale="66" fitToHeight="0"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2289" r:id="rId5" name="Check Box 1">
              <controlPr defaultSize="0" autoPict="0">
                <anchor moveWithCells="1">
                  <from>
                    <xdr:col>4</xdr:col>
                    <xdr:colOff>57150</xdr:colOff>
                    <xdr:row>7</xdr:row>
                    <xdr:rowOff>19050</xdr:rowOff>
                  </from>
                  <to>
                    <xdr:col>4</xdr:col>
                    <xdr:colOff>323850</xdr:colOff>
                    <xdr:row>8</xdr:row>
                    <xdr:rowOff>44450</xdr:rowOff>
                  </to>
                </anchor>
              </controlPr>
            </control>
          </mc:Choice>
        </mc:AlternateContent>
        <mc:AlternateContent xmlns:mc="http://schemas.openxmlformats.org/markup-compatibility/2006">
          <mc:Choice Requires="x14">
            <control shapeId="12290" r:id="rId6" name="Check Box 2">
              <controlPr defaultSize="0" autoPict="0">
                <anchor moveWithCells="1">
                  <from>
                    <xdr:col>5</xdr:col>
                    <xdr:colOff>438150</xdr:colOff>
                    <xdr:row>7</xdr:row>
                    <xdr:rowOff>0</xdr:rowOff>
                  </from>
                  <to>
                    <xdr:col>6</xdr:col>
                    <xdr:colOff>228600</xdr:colOff>
                    <xdr:row>8</xdr:row>
                    <xdr:rowOff>44450</xdr:rowOff>
                  </to>
                </anchor>
              </controlPr>
            </control>
          </mc:Choice>
        </mc:AlternateContent>
        <mc:AlternateContent xmlns:mc="http://schemas.openxmlformats.org/markup-compatibility/2006">
          <mc:Choice Requires="x14">
            <control shapeId="12293" r:id="rId7" name="Check Box 5">
              <controlPr defaultSize="0" autoPict="0">
                <anchor moveWithCells="1">
                  <from>
                    <xdr:col>8</xdr:col>
                    <xdr:colOff>127000</xdr:colOff>
                    <xdr:row>6</xdr:row>
                    <xdr:rowOff>838200</xdr:rowOff>
                  </from>
                  <to>
                    <xdr:col>8</xdr:col>
                    <xdr:colOff>431800</xdr:colOff>
                    <xdr:row>8</xdr:row>
                    <xdr:rowOff>25400</xdr:rowOff>
                  </to>
                </anchor>
              </controlPr>
            </control>
          </mc:Choice>
        </mc:AlternateContent>
        <mc:AlternateContent xmlns:mc="http://schemas.openxmlformats.org/markup-compatibility/2006">
          <mc:Choice Requires="x14">
            <control shapeId="12294" r:id="rId8" name="Check Box 6">
              <controlPr defaultSize="0" autoPict="0">
                <anchor moveWithCells="1">
                  <from>
                    <xdr:col>2</xdr:col>
                    <xdr:colOff>19050</xdr:colOff>
                    <xdr:row>7</xdr:row>
                    <xdr:rowOff>0</xdr:rowOff>
                  </from>
                  <to>
                    <xdr:col>2</xdr:col>
                    <xdr:colOff>247650</xdr:colOff>
                    <xdr:row>8</xdr:row>
                    <xdr:rowOff>44450</xdr:rowOff>
                  </to>
                </anchor>
              </controlPr>
            </control>
          </mc:Choice>
        </mc:AlternateContent>
        <mc:AlternateContent xmlns:mc="http://schemas.openxmlformats.org/markup-compatibility/2006">
          <mc:Choice Requires="x14">
            <control shapeId="12298" r:id="rId9" name="Check Box 10">
              <controlPr defaultSize="0" autoPict="0">
                <anchor moveWithCells="1">
                  <from>
                    <xdr:col>1</xdr:col>
                    <xdr:colOff>114300</xdr:colOff>
                    <xdr:row>11</xdr:row>
                    <xdr:rowOff>527050</xdr:rowOff>
                  </from>
                  <to>
                    <xdr:col>3</xdr:col>
                    <xdr:colOff>228600</xdr:colOff>
                    <xdr:row>13</xdr:row>
                    <xdr:rowOff>69850</xdr:rowOff>
                  </to>
                </anchor>
              </controlPr>
            </control>
          </mc:Choice>
        </mc:AlternateContent>
        <mc:AlternateContent xmlns:mc="http://schemas.openxmlformats.org/markup-compatibility/2006">
          <mc:Choice Requires="x14">
            <control shapeId="12299" r:id="rId10" name="Check Box 11">
              <controlPr defaultSize="0" autoPict="0">
                <anchor moveWithCells="1">
                  <from>
                    <xdr:col>3</xdr:col>
                    <xdr:colOff>158750</xdr:colOff>
                    <xdr:row>11</xdr:row>
                    <xdr:rowOff>520700</xdr:rowOff>
                  </from>
                  <to>
                    <xdr:col>5</xdr:col>
                    <xdr:colOff>209550</xdr:colOff>
                    <xdr:row>13</xdr:row>
                    <xdr:rowOff>69850</xdr:rowOff>
                  </to>
                </anchor>
              </controlPr>
            </control>
          </mc:Choice>
        </mc:AlternateContent>
        <mc:AlternateContent xmlns:mc="http://schemas.openxmlformats.org/markup-compatibility/2006">
          <mc:Choice Requires="x14">
            <control shapeId="12300" r:id="rId11" name="Check Box 12">
              <controlPr defaultSize="0" autoPict="0">
                <anchor moveWithCells="1">
                  <from>
                    <xdr:col>1</xdr:col>
                    <xdr:colOff>114300</xdr:colOff>
                    <xdr:row>13</xdr:row>
                    <xdr:rowOff>527050</xdr:rowOff>
                  </from>
                  <to>
                    <xdr:col>3</xdr:col>
                    <xdr:colOff>228600</xdr:colOff>
                    <xdr:row>15</xdr:row>
                    <xdr:rowOff>31750</xdr:rowOff>
                  </to>
                </anchor>
              </controlPr>
            </control>
          </mc:Choice>
        </mc:AlternateContent>
        <mc:AlternateContent xmlns:mc="http://schemas.openxmlformats.org/markup-compatibility/2006">
          <mc:Choice Requires="x14">
            <control shapeId="12301" r:id="rId12" name="Check Box 13">
              <controlPr defaultSize="0" autoPict="0">
                <anchor moveWithCells="1">
                  <from>
                    <xdr:col>3</xdr:col>
                    <xdr:colOff>158750</xdr:colOff>
                    <xdr:row>13</xdr:row>
                    <xdr:rowOff>520700</xdr:rowOff>
                  </from>
                  <to>
                    <xdr:col>5</xdr:col>
                    <xdr:colOff>209550</xdr:colOff>
                    <xdr:row>15</xdr:row>
                    <xdr:rowOff>31750</xdr:rowOff>
                  </to>
                </anchor>
              </controlPr>
            </control>
          </mc:Choice>
        </mc:AlternateContent>
        <mc:AlternateContent xmlns:mc="http://schemas.openxmlformats.org/markup-compatibility/2006">
          <mc:Choice Requires="x14">
            <control shapeId="12302" r:id="rId13" name="Check Box 14">
              <controlPr defaultSize="0" autoPict="0">
                <anchor moveWithCells="1">
                  <from>
                    <xdr:col>1</xdr:col>
                    <xdr:colOff>114300</xdr:colOff>
                    <xdr:row>14</xdr:row>
                    <xdr:rowOff>527050</xdr:rowOff>
                  </from>
                  <to>
                    <xdr:col>3</xdr:col>
                    <xdr:colOff>228600</xdr:colOff>
                    <xdr:row>16</xdr:row>
                    <xdr:rowOff>31750</xdr:rowOff>
                  </to>
                </anchor>
              </controlPr>
            </control>
          </mc:Choice>
        </mc:AlternateContent>
        <mc:AlternateContent xmlns:mc="http://schemas.openxmlformats.org/markup-compatibility/2006">
          <mc:Choice Requires="x14">
            <control shapeId="12303" r:id="rId14" name="Check Box 15">
              <controlPr defaultSize="0" autoPict="0">
                <anchor moveWithCells="1">
                  <from>
                    <xdr:col>3</xdr:col>
                    <xdr:colOff>158750</xdr:colOff>
                    <xdr:row>14</xdr:row>
                    <xdr:rowOff>520700</xdr:rowOff>
                  </from>
                  <to>
                    <xdr:col>5</xdr:col>
                    <xdr:colOff>209550</xdr:colOff>
                    <xdr:row>16</xdr:row>
                    <xdr:rowOff>31750</xdr:rowOff>
                  </to>
                </anchor>
              </controlPr>
            </control>
          </mc:Choice>
        </mc:AlternateContent>
        <mc:AlternateContent xmlns:mc="http://schemas.openxmlformats.org/markup-compatibility/2006">
          <mc:Choice Requires="x14">
            <control shapeId="12304" r:id="rId15" name="Check Box 16">
              <controlPr defaultSize="0" autoPict="0">
                <anchor moveWithCells="1">
                  <from>
                    <xdr:col>1</xdr:col>
                    <xdr:colOff>114300</xdr:colOff>
                    <xdr:row>15</xdr:row>
                    <xdr:rowOff>527050</xdr:rowOff>
                  </from>
                  <to>
                    <xdr:col>3</xdr:col>
                    <xdr:colOff>228600</xdr:colOff>
                    <xdr:row>16</xdr:row>
                    <xdr:rowOff>298450</xdr:rowOff>
                  </to>
                </anchor>
              </controlPr>
            </control>
          </mc:Choice>
        </mc:AlternateContent>
        <mc:AlternateContent xmlns:mc="http://schemas.openxmlformats.org/markup-compatibility/2006">
          <mc:Choice Requires="x14">
            <control shapeId="12305" r:id="rId16" name="Check Box 17">
              <controlPr defaultSize="0" autoPict="0">
                <anchor moveWithCells="1">
                  <from>
                    <xdr:col>3</xdr:col>
                    <xdr:colOff>158750</xdr:colOff>
                    <xdr:row>15</xdr:row>
                    <xdr:rowOff>520700</xdr:rowOff>
                  </from>
                  <to>
                    <xdr:col>5</xdr:col>
                    <xdr:colOff>209550</xdr:colOff>
                    <xdr:row>16</xdr:row>
                    <xdr:rowOff>298450</xdr:rowOff>
                  </to>
                </anchor>
              </controlPr>
            </control>
          </mc:Choice>
        </mc:AlternateContent>
        <mc:AlternateContent xmlns:mc="http://schemas.openxmlformats.org/markup-compatibility/2006">
          <mc:Choice Requires="x14">
            <control shapeId="12306" r:id="rId17" name="Check Box 18">
              <controlPr defaultSize="0" autoPict="0">
                <anchor moveWithCells="1">
                  <from>
                    <xdr:col>1</xdr:col>
                    <xdr:colOff>215900</xdr:colOff>
                    <xdr:row>9</xdr:row>
                    <xdr:rowOff>31750</xdr:rowOff>
                  </from>
                  <to>
                    <xdr:col>3</xdr:col>
                    <xdr:colOff>50800</xdr:colOff>
                    <xdr:row>10</xdr:row>
                    <xdr:rowOff>0</xdr:rowOff>
                  </to>
                </anchor>
              </controlPr>
            </control>
          </mc:Choice>
        </mc:AlternateContent>
        <mc:AlternateContent xmlns:mc="http://schemas.openxmlformats.org/markup-compatibility/2006">
          <mc:Choice Requires="x14">
            <control shapeId="12307" r:id="rId18" name="Check Box 19">
              <controlPr defaultSize="0" autoPict="0">
                <anchor moveWithCells="1">
                  <from>
                    <xdr:col>10</xdr:col>
                    <xdr:colOff>742950</xdr:colOff>
                    <xdr:row>9</xdr:row>
                    <xdr:rowOff>31750</xdr:rowOff>
                  </from>
                  <to>
                    <xdr:col>12</xdr:col>
                    <xdr:colOff>215900</xdr:colOff>
                    <xdr:row>10</xdr:row>
                    <xdr:rowOff>12700</xdr:rowOff>
                  </to>
                </anchor>
              </controlPr>
            </control>
          </mc:Choice>
        </mc:AlternateContent>
        <mc:AlternateContent xmlns:mc="http://schemas.openxmlformats.org/markup-compatibility/2006">
          <mc:Choice Requires="x14">
            <control shapeId="12308" r:id="rId19" name="Check Box 20">
              <controlPr defaultSize="0" autoPict="0">
                <anchor moveWithCells="1">
                  <from>
                    <xdr:col>1</xdr:col>
                    <xdr:colOff>127000</xdr:colOff>
                    <xdr:row>10</xdr:row>
                    <xdr:rowOff>203200</xdr:rowOff>
                  </from>
                  <to>
                    <xdr:col>4</xdr:col>
                    <xdr:colOff>6350</xdr:colOff>
                    <xdr:row>12</xdr:row>
                    <xdr:rowOff>12700</xdr:rowOff>
                  </to>
                </anchor>
              </controlPr>
            </control>
          </mc:Choice>
        </mc:AlternateContent>
        <mc:AlternateContent xmlns:mc="http://schemas.openxmlformats.org/markup-compatibility/2006">
          <mc:Choice Requires="x14">
            <control shapeId="12309" r:id="rId20" name="Check Box 21">
              <controlPr defaultSize="0" autoPict="0">
                <anchor moveWithCells="1">
                  <from>
                    <xdr:col>3</xdr:col>
                    <xdr:colOff>177800</xdr:colOff>
                    <xdr:row>10</xdr:row>
                    <xdr:rowOff>203200</xdr:rowOff>
                  </from>
                  <to>
                    <xdr:col>5</xdr:col>
                    <xdr:colOff>228600</xdr:colOff>
                    <xdr:row>12</xdr:row>
                    <xdr:rowOff>25400</xdr:rowOff>
                  </to>
                </anchor>
              </controlPr>
            </control>
          </mc:Choice>
        </mc:AlternateContent>
        <mc:AlternateContent xmlns:mc="http://schemas.openxmlformats.org/markup-compatibility/2006">
          <mc:Choice Requires="x14">
            <control shapeId="12310" r:id="rId21" name="Check Box 22">
              <controlPr defaultSize="0" autoPict="0">
                <anchor moveWithCells="1">
                  <from>
                    <xdr:col>1</xdr:col>
                    <xdr:colOff>114300</xdr:colOff>
                    <xdr:row>12</xdr:row>
                    <xdr:rowOff>241300</xdr:rowOff>
                  </from>
                  <to>
                    <xdr:col>3</xdr:col>
                    <xdr:colOff>228600</xdr:colOff>
                    <xdr:row>14</xdr:row>
                    <xdr:rowOff>25400</xdr:rowOff>
                  </to>
                </anchor>
              </controlPr>
            </control>
          </mc:Choice>
        </mc:AlternateContent>
        <mc:AlternateContent xmlns:mc="http://schemas.openxmlformats.org/markup-compatibility/2006">
          <mc:Choice Requires="x14">
            <control shapeId="12311" r:id="rId22" name="Check Box 23">
              <controlPr defaultSize="0" autoPict="0">
                <anchor moveWithCells="1">
                  <from>
                    <xdr:col>3</xdr:col>
                    <xdr:colOff>165100</xdr:colOff>
                    <xdr:row>12</xdr:row>
                    <xdr:rowOff>241300</xdr:rowOff>
                  </from>
                  <to>
                    <xdr:col>5</xdr:col>
                    <xdr:colOff>215900</xdr:colOff>
                    <xdr:row>14</xdr:row>
                    <xdr:rowOff>38100</xdr:rowOff>
                  </to>
                </anchor>
              </controlPr>
            </control>
          </mc:Choice>
        </mc:AlternateContent>
        <mc:AlternateContent xmlns:mc="http://schemas.openxmlformats.org/markup-compatibility/2006">
          <mc:Choice Requires="x14">
            <control shapeId="12312" r:id="rId23" name="Check Box 24">
              <controlPr defaultSize="0" autoPict="0">
                <anchor moveWithCells="1">
                  <from>
                    <xdr:col>6</xdr:col>
                    <xdr:colOff>0</xdr:colOff>
                    <xdr:row>9</xdr:row>
                    <xdr:rowOff>38100</xdr:rowOff>
                  </from>
                  <to>
                    <xdr:col>8</xdr:col>
                    <xdr:colOff>57150</xdr:colOff>
                    <xdr:row>9</xdr:row>
                    <xdr:rowOff>254000</xdr:rowOff>
                  </to>
                </anchor>
              </controlPr>
            </control>
          </mc:Choice>
        </mc:AlternateContent>
        <mc:AlternateContent xmlns:mc="http://schemas.openxmlformats.org/markup-compatibility/2006">
          <mc:Choice Requires="x14">
            <control shapeId="12314" r:id="rId24" name="Check Box 26">
              <controlPr defaultSize="0" autoPict="0">
                <anchor moveWithCells="1">
                  <from>
                    <xdr:col>11</xdr:col>
                    <xdr:colOff>12700</xdr:colOff>
                    <xdr:row>6</xdr:row>
                    <xdr:rowOff>850900</xdr:rowOff>
                  </from>
                  <to>
                    <xdr:col>11</xdr:col>
                    <xdr:colOff>317500</xdr:colOff>
                    <xdr:row>8</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7"/>
  <sheetViews>
    <sheetView topLeftCell="A31" zoomScaleNormal="100" workbookViewId="0">
      <selection activeCell="P21" sqref="P21"/>
    </sheetView>
  </sheetViews>
  <sheetFormatPr defaultColWidth="12" defaultRowHeight="14.5"/>
  <cols>
    <col min="1" max="1" width="5.90625" style="1" customWidth="1"/>
    <col min="2" max="2" width="14.90625" style="1" customWidth="1"/>
    <col min="3" max="3" width="2.7265625" style="1" customWidth="1"/>
    <col min="4" max="4" width="4.54296875" style="1" customWidth="1"/>
    <col min="5" max="5" width="7.26953125" style="1" customWidth="1"/>
    <col min="6" max="6" width="7.81640625" style="1" customWidth="1"/>
    <col min="7" max="8" width="4" style="1" customWidth="1"/>
    <col min="9" max="9" width="8.90625" style="1" customWidth="1"/>
    <col min="10" max="10" width="4" style="1" customWidth="1"/>
    <col min="11" max="11" width="5.6328125" style="1" customWidth="1"/>
    <col min="12" max="12" width="8.6328125" style="1" customWidth="1"/>
    <col min="13" max="13" width="6.90625" style="1" customWidth="1"/>
    <col min="14" max="14" width="6.7265625" style="1" customWidth="1"/>
    <col min="15" max="15" width="22.54296875" style="1" customWidth="1"/>
    <col min="16" max="16384" width="12" style="1"/>
  </cols>
  <sheetData>
    <row r="1" spans="1:16" ht="60" customHeight="1">
      <c r="A1" s="119" t="s">
        <v>46</v>
      </c>
      <c r="B1" s="120"/>
      <c r="C1" s="120"/>
      <c r="D1" s="120"/>
      <c r="E1" s="120"/>
      <c r="F1" s="120"/>
      <c r="G1" s="120"/>
      <c r="H1" s="120"/>
      <c r="I1" s="120"/>
      <c r="J1" s="120"/>
      <c r="K1" s="120"/>
      <c r="L1" s="120"/>
      <c r="M1" s="120"/>
      <c r="N1" s="120"/>
      <c r="O1" s="120"/>
      <c r="P1" s="51" t="s">
        <v>47</v>
      </c>
    </row>
    <row r="2" spans="1:16" ht="28.25" customHeight="1">
      <c r="A2" s="54">
        <v>1.1000000000000001</v>
      </c>
      <c r="B2" s="121" t="s">
        <v>48</v>
      </c>
      <c r="C2" s="121"/>
      <c r="D2" s="122" t="str">
        <f>IF(NM=0," ",NM)</f>
        <v xml:space="preserve">DLMM ENTERPRISE </v>
      </c>
      <c r="E2" s="122"/>
      <c r="F2" s="122"/>
      <c r="G2" s="122"/>
      <c r="H2" s="122"/>
      <c r="I2" s="122"/>
      <c r="J2" s="122"/>
      <c r="K2" s="122"/>
      <c r="L2" s="122"/>
      <c r="M2" s="122"/>
      <c r="N2" s="122"/>
      <c r="O2" s="122"/>
    </row>
    <row r="3" spans="1:16" ht="67.5" customHeight="1">
      <c r="A3" s="54">
        <v>1.2</v>
      </c>
      <c r="B3" s="121" t="s">
        <v>3</v>
      </c>
      <c r="C3" s="121"/>
      <c r="D3" s="122" t="str">
        <f>IF(AD=0," ",AD)</f>
        <v>Ground Floor, Plot No. 205, Sector No. 7, Gandhidham, Kachchh, Gujarat - 370201, India</v>
      </c>
      <c r="E3" s="122"/>
      <c r="F3" s="122"/>
      <c r="G3" s="122"/>
      <c r="H3" s="122"/>
      <c r="I3" s="122"/>
      <c r="J3" s="122"/>
      <c r="K3" s="122"/>
      <c r="L3" s="122"/>
      <c r="M3" s="122"/>
      <c r="N3" s="122"/>
      <c r="O3" s="122"/>
    </row>
    <row r="4" spans="1:16" ht="22.25" customHeight="1">
      <c r="A4" s="54">
        <v>1.3</v>
      </c>
      <c r="B4" s="121" t="s">
        <v>6</v>
      </c>
      <c r="C4" s="121"/>
      <c r="D4" s="122" t="str">
        <f>IF(CP=0," ",CP)</f>
        <v>Manish Karsanbhai maheshwari</v>
      </c>
      <c r="E4" s="122"/>
      <c r="F4" s="122"/>
      <c r="G4" s="122"/>
      <c r="H4" s="122"/>
      <c r="I4" s="121" t="s">
        <v>49</v>
      </c>
      <c r="J4" s="121"/>
      <c r="K4" s="121"/>
      <c r="L4" s="122" t="str">
        <f>IF(NUM=0," ",NUM)</f>
        <v>9650086955</v>
      </c>
      <c r="M4" s="122"/>
      <c r="N4" s="122"/>
      <c r="O4" s="122"/>
    </row>
    <row r="5" spans="1:16" ht="18" customHeight="1">
      <c r="A5" s="54">
        <v>1.4</v>
      </c>
      <c r="B5" s="121" t="s">
        <v>50</v>
      </c>
      <c r="C5" s="121"/>
      <c r="D5" s="122" t="s">
        <v>51</v>
      </c>
      <c r="E5" s="122"/>
      <c r="F5" s="122"/>
      <c r="G5" s="122"/>
      <c r="H5" s="122"/>
      <c r="I5" s="122"/>
      <c r="J5" s="122"/>
      <c r="K5" s="122"/>
      <c r="L5" s="122"/>
      <c r="M5" s="122"/>
      <c r="N5" s="122"/>
      <c r="O5" s="122"/>
    </row>
    <row r="6" spans="1:16" ht="18" customHeight="1">
      <c r="A6" s="54">
        <v>1.5</v>
      </c>
      <c r="B6" s="121" t="s">
        <v>52</v>
      </c>
      <c r="C6" s="121"/>
      <c r="D6" s="123" t="str">
        <f>'[1]F03 App Rev &amp; F03-01 Aud Pln'!B8</f>
        <v>ISO 9001:2015</v>
      </c>
      <c r="E6" s="124"/>
      <c r="F6" s="124"/>
      <c r="G6" s="124"/>
      <c r="H6" s="124"/>
      <c r="I6" s="124"/>
      <c r="J6" s="124"/>
      <c r="K6" s="124"/>
      <c r="L6" s="124"/>
      <c r="M6" s="124"/>
      <c r="N6" s="124"/>
      <c r="O6" s="125"/>
    </row>
    <row r="7" spans="1:16" ht="18" customHeight="1">
      <c r="A7" s="54">
        <v>1.6</v>
      </c>
      <c r="B7" s="126" t="s">
        <v>53</v>
      </c>
      <c r="C7" s="127"/>
      <c r="D7" s="128">
        <f>IF(PD=0," ",PD)</f>
        <v>46039</v>
      </c>
      <c r="E7" s="129"/>
      <c r="F7" s="129"/>
      <c r="G7" s="55"/>
      <c r="H7" s="56"/>
      <c r="I7" s="56"/>
      <c r="J7" s="56"/>
      <c r="K7" s="55"/>
      <c r="L7" s="55"/>
      <c r="M7" s="55"/>
      <c r="N7" s="55"/>
      <c r="O7" s="59"/>
    </row>
    <row r="8" spans="1:16" ht="18" customHeight="1">
      <c r="A8" s="54">
        <v>1.7</v>
      </c>
      <c r="B8" s="126" t="s">
        <v>54</v>
      </c>
      <c r="C8" s="130"/>
      <c r="D8" s="131">
        <f>IF(DAT=0," ",DAT)</f>
        <v>46046</v>
      </c>
      <c r="E8" s="131"/>
      <c r="F8" s="131"/>
      <c r="G8" s="55" t="s">
        <v>39</v>
      </c>
      <c r="H8" s="131">
        <f>IF(DET=0," ",DET)</f>
        <v>46046</v>
      </c>
      <c r="I8" s="131"/>
      <c r="J8" s="131"/>
      <c r="K8" s="55"/>
      <c r="L8" s="55"/>
      <c r="M8" s="55"/>
      <c r="N8" s="55"/>
      <c r="O8" s="59"/>
    </row>
    <row r="9" spans="1:16" ht="29.25" customHeight="1">
      <c r="A9" s="57" t="s">
        <v>55</v>
      </c>
      <c r="B9" s="121" t="s">
        <v>56</v>
      </c>
      <c r="C9" s="121"/>
      <c r="D9" s="132">
        <f>IF(IAF=0," ",IAF)</f>
        <v>35</v>
      </c>
      <c r="E9" s="133"/>
      <c r="F9" s="132"/>
      <c r="G9" s="134"/>
      <c r="H9" s="134"/>
      <c r="I9" s="134"/>
      <c r="J9" s="134"/>
      <c r="K9" s="134"/>
      <c r="L9" s="134"/>
      <c r="M9" s="134"/>
      <c r="N9" s="134"/>
      <c r="O9" s="133"/>
    </row>
    <row r="10" spans="1:16" ht="149.5" customHeight="1">
      <c r="A10" s="57" t="s">
        <v>57</v>
      </c>
      <c r="B10" s="126" t="s">
        <v>58</v>
      </c>
      <c r="C10" s="127"/>
      <c r="D10" s="135" t="s">
        <v>59</v>
      </c>
      <c r="E10" s="136"/>
      <c r="F10" s="136"/>
      <c r="G10" s="136"/>
      <c r="H10" s="136"/>
      <c r="I10" s="136"/>
      <c r="J10" s="136"/>
      <c r="K10" s="136"/>
      <c r="L10" s="136"/>
      <c r="M10" s="136"/>
      <c r="N10" s="136"/>
      <c r="O10" s="137"/>
    </row>
    <row r="11" spans="1:16" ht="23" customHeight="1">
      <c r="A11" s="58">
        <v>1.1000000000000001</v>
      </c>
      <c r="B11" s="121" t="s">
        <v>60</v>
      </c>
      <c r="C11" s="121"/>
      <c r="D11" s="122" t="s">
        <v>18</v>
      </c>
      <c r="E11" s="122"/>
      <c r="F11" s="122"/>
      <c r="G11" s="122"/>
      <c r="H11" s="122"/>
      <c r="I11" s="122"/>
      <c r="J11" s="122"/>
      <c r="K11" s="122"/>
      <c r="L11" s="122"/>
      <c r="M11" s="122"/>
      <c r="N11" s="122"/>
      <c r="O11" s="122"/>
    </row>
    <row r="12" spans="1:16" ht="30" customHeight="1">
      <c r="A12" s="54">
        <v>1.1100000000000001</v>
      </c>
      <c r="B12" s="121" t="s">
        <v>61</v>
      </c>
      <c r="C12" s="121"/>
      <c r="D12" s="132"/>
      <c r="E12" s="134"/>
      <c r="F12" s="134"/>
      <c r="G12" s="134"/>
      <c r="H12" s="134"/>
      <c r="I12" s="134"/>
      <c r="J12" s="134"/>
      <c r="K12" s="134"/>
      <c r="L12" s="133"/>
      <c r="M12" s="132"/>
      <c r="N12" s="134"/>
      <c r="O12" s="133"/>
    </row>
    <row r="13" spans="1:16" ht="23" customHeight="1">
      <c r="A13" s="138" t="s">
        <v>62</v>
      </c>
      <c r="B13" s="138"/>
      <c r="C13" s="138"/>
      <c r="D13" s="138"/>
      <c r="E13" s="138"/>
      <c r="F13" s="138"/>
      <c r="G13" s="138"/>
      <c r="H13" s="138"/>
      <c r="I13" s="138"/>
      <c r="J13" s="138"/>
      <c r="K13" s="138"/>
      <c r="L13" s="138"/>
      <c r="M13" s="138"/>
      <c r="N13" s="138"/>
      <c r="O13" s="138"/>
    </row>
    <row r="14" spans="1:16" ht="23" customHeight="1">
      <c r="A14" s="178" t="s">
        <v>63</v>
      </c>
      <c r="B14" s="179"/>
      <c r="C14" s="178" t="s">
        <v>64</v>
      </c>
      <c r="D14" s="182"/>
      <c r="E14" s="182"/>
      <c r="F14" s="179"/>
      <c r="G14" s="177" t="s">
        <v>49</v>
      </c>
      <c r="H14" s="177"/>
      <c r="I14" s="177"/>
      <c r="J14" s="177" t="s">
        <v>9</v>
      </c>
      <c r="K14" s="177"/>
      <c r="L14" s="177"/>
      <c r="M14" s="177" t="s">
        <v>65</v>
      </c>
      <c r="N14" s="177" t="s">
        <v>66</v>
      </c>
      <c r="O14" s="177"/>
    </row>
    <row r="15" spans="1:16" ht="23" customHeight="1">
      <c r="A15" s="180"/>
      <c r="B15" s="181"/>
      <c r="C15" s="180"/>
      <c r="D15" s="183"/>
      <c r="E15" s="183"/>
      <c r="F15" s="181"/>
      <c r="G15" s="177"/>
      <c r="H15" s="177"/>
      <c r="I15" s="177"/>
      <c r="J15" s="177"/>
      <c r="K15" s="177"/>
      <c r="L15" s="177"/>
      <c r="M15" s="177"/>
      <c r="N15" s="177"/>
      <c r="O15" s="177"/>
    </row>
    <row r="16" spans="1:16" ht="51" customHeight="1">
      <c r="A16" s="139" t="str">
        <f>IF(AN=0," ",AN)</f>
        <v>Meraj Sahab</v>
      </c>
      <c r="B16" s="140"/>
      <c r="C16" s="141" t="str">
        <f>IF(LA=0," ",LA)</f>
        <v>Lead Auditor</v>
      </c>
      <c r="D16" s="142"/>
      <c r="E16" s="142"/>
      <c r="F16" s="143"/>
      <c r="G16" s="144" t="s">
        <v>297</v>
      </c>
      <c r="H16" s="145"/>
      <c r="I16" s="145"/>
      <c r="J16" s="145" t="str">
        <f>IF(AUDITOR1STD=0," ",AUDITOR1STD)</f>
        <v>ISO 9001:2015</v>
      </c>
      <c r="K16" s="145"/>
      <c r="L16" s="145"/>
      <c r="M16" s="22">
        <f>IF(IAF=0," ",IAF)</f>
        <v>35</v>
      </c>
      <c r="N16" s="146">
        <v>1</v>
      </c>
      <c r="O16" s="147"/>
    </row>
    <row r="17" spans="1:15" ht="42" customHeight="1">
      <c r="A17" s="148"/>
      <c r="B17" s="140"/>
      <c r="C17" s="149"/>
      <c r="D17" s="142"/>
      <c r="E17" s="142"/>
      <c r="F17" s="143"/>
      <c r="G17" s="144"/>
      <c r="H17" s="145"/>
      <c r="I17" s="145"/>
      <c r="J17" s="145"/>
      <c r="K17" s="145"/>
      <c r="L17" s="145"/>
      <c r="M17" s="74"/>
      <c r="N17" s="150"/>
      <c r="O17" s="151"/>
    </row>
    <row r="18" spans="1:15" ht="23" customHeight="1">
      <c r="A18" s="139"/>
      <c r="B18" s="140"/>
      <c r="C18" s="152"/>
      <c r="D18" s="153"/>
      <c r="E18" s="153"/>
      <c r="F18" s="154"/>
      <c r="G18" s="145"/>
      <c r="H18" s="145"/>
      <c r="I18" s="145"/>
      <c r="J18" s="145"/>
      <c r="K18" s="145"/>
      <c r="L18" s="145"/>
      <c r="M18" s="22"/>
      <c r="N18" s="150"/>
      <c r="O18" s="151"/>
    </row>
    <row r="19" spans="1:15" ht="23" customHeight="1">
      <c r="A19" s="139"/>
      <c r="B19" s="140"/>
      <c r="C19" s="152"/>
      <c r="D19" s="153"/>
      <c r="E19" s="153"/>
      <c r="F19" s="154"/>
      <c r="G19" s="145"/>
      <c r="H19" s="145"/>
      <c r="I19" s="145"/>
      <c r="J19" s="145"/>
      <c r="K19" s="145"/>
      <c r="L19" s="145"/>
      <c r="M19" s="22"/>
      <c r="N19" s="150"/>
      <c r="O19" s="151"/>
    </row>
    <row r="20" spans="1:15" ht="23" customHeight="1">
      <c r="A20" s="139"/>
      <c r="B20" s="140"/>
      <c r="C20" s="152"/>
      <c r="D20" s="153"/>
      <c r="E20" s="153"/>
      <c r="F20" s="154"/>
      <c r="G20" s="145"/>
      <c r="H20" s="145"/>
      <c r="I20" s="145"/>
      <c r="J20" s="145"/>
      <c r="K20" s="145"/>
      <c r="L20" s="145"/>
      <c r="M20" s="22"/>
      <c r="N20" s="150"/>
      <c r="O20" s="151"/>
    </row>
    <row r="21" spans="1:15" ht="113" customHeight="1">
      <c r="A21" s="155" t="s">
        <v>67</v>
      </c>
      <c r="B21" s="156"/>
      <c r="C21" s="156"/>
      <c r="D21" s="156"/>
      <c r="E21" s="156"/>
      <c r="F21" s="156"/>
      <c r="G21" s="156"/>
      <c r="H21" s="156"/>
      <c r="I21" s="156"/>
      <c r="J21" s="156"/>
      <c r="K21" s="156"/>
      <c r="L21" s="156"/>
      <c r="M21" s="156"/>
      <c r="N21" s="156"/>
      <c r="O21" s="157"/>
    </row>
    <row r="22" spans="1:15" ht="132.5" customHeight="1">
      <c r="A22" s="155" t="s">
        <v>68</v>
      </c>
      <c r="B22" s="156"/>
      <c r="C22" s="156"/>
      <c r="D22" s="156"/>
      <c r="E22" s="156"/>
      <c r="F22" s="156"/>
      <c r="G22" s="156"/>
      <c r="H22" s="156"/>
      <c r="I22" s="156"/>
      <c r="J22" s="156"/>
      <c r="K22" s="156"/>
      <c r="L22" s="156"/>
      <c r="M22" s="156"/>
      <c r="N22" s="156"/>
      <c r="O22" s="157"/>
    </row>
    <row r="23" spans="1:15" ht="105" customHeight="1">
      <c r="A23" s="155" t="s">
        <v>69</v>
      </c>
      <c r="B23" s="158"/>
      <c r="C23" s="158"/>
      <c r="D23" s="158"/>
      <c r="E23" s="158"/>
      <c r="F23" s="158"/>
      <c r="G23" s="158"/>
      <c r="H23" s="158"/>
      <c r="I23" s="158"/>
      <c r="J23" s="158"/>
      <c r="K23" s="158"/>
      <c r="L23" s="158"/>
      <c r="M23" s="158"/>
      <c r="N23" s="158"/>
      <c r="O23" s="159"/>
    </row>
    <row r="24" spans="1:15" ht="104.5" customHeight="1">
      <c r="A24" s="155" t="s">
        <v>70</v>
      </c>
      <c r="B24" s="156"/>
      <c r="C24" s="156"/>
      <c r="D24" s="156"/>
      <c r="E24" s="156"/>
      <c r="F24" s="156"/>
      <c r="G24" s="156"/>
      <c r="H24" s="156"/>
      <c r="I24" s="156"/>
      <c r="J24" s="156"/>
      <c r="K24" s="156"/>
      <c r="L24" s="156"/>
      <c r="M24" s="156"/>
      <c r="N24" s="156"/>
      <c r="O24" s="157"/>
    </row>
    <row r="25" spans="1:15" ht="57.75" customHeight="1">
      <c r="A25" s="155" t="s">
        <v>71</v>
      </c>
      <c r="B25" s="158"/>
      <c r="C25" s="158"/>
      <c r="D25" s="158"/>
      <c r="E25" s="158"/>
      <c r="F25" s="158"/>
      <c r="G25" s="158"/>
      <c r="H25" s="158"/>
      <c r="I25" s="158"/>
      <c r="J25" s="158"/>
      <c r="K25" s="158"/>
      <c r="L25" s="158"/>
      <c r="M25" s="158"/>
      <c r="N25" s="158"/>
      <c r="O25" s="159"/>
    </row>
    <row r="26" spans="1:15" ht="117" customHeight="1">
      <c r="A26" s="155" t="s">
        <v>72</v>
      </c>
      <c r="B26" s="156"/>
      <c r="C26" s="156"/>
      <c r="D26" s="156"/>
      <c r="E26" s="156"/>
      <c r="F26" s="156"/>
      <c r="G26" s="156"/>
      <c r="H26" s="156"/>
      <c r="I26" s="156"/>
      <c r="J26" s="156"/>
      <c r="K26" s="156"/>
      <c r="L26" s="156"/>
      <c r="M26" s="156"/>
      <c r="N26" s="156"/>
      <c r="O26" s="157"/>
    </row>
    <row r="27" spans="1:15" ht="17.25" customHeight="1">
      <c r="A27" s="160"/>
      <c r="B27" s="158"/>
      <c r="C27" s="158"/>
      <c r="D27" s="158"/>
      <c r="E27" s="158"/>
      <c r="F27" s="158"/>
      <c r="G27" s="158"/>
      <c r="H27" s="158"/>
      <c r="I27" s="158"/>
      <c r="J27" s="158"/>
      <c r="K27" s="158"/>
      <c r="L27" s="158"/>
      <c r="M27" s="158"/>
      <c r="N27" s="158"/>
      <c r="O27" s="159"/>
    </row>
    <row r="28" spans="1:15" ht="32.75" customHeight="1">
      <c r="A28" s="152" t="s">
        <v>73</v>
      </c>
      <c r="B28" s="153"/>
      <c r="C28" s="153"/>
      <c r="D28" s="153"/>
      <c r="E28" s="153"/>
      <c r="F28" s="153"/>
      <c r="G28" s="153"/>
      <c r="H28" s="153"/>
      <c r="I28" s="153"/>
      <c r="J28" s="153"/>
      <c r="K28" s="153"/>
      <c r="L28" s="153"/>
      <c r="M28" s="153"/>
      <c r="N28" s="153"/>
      <c r="O28" s="154"/>
    </row>
    <row r="29" spans="1:15" ht="36" customHeight="1">
      <c r="A29" s="161" t="s">
        <v>74</v>
      </c>
      <c r="B29" s="161"/>
      <c r="C29" s="138" t="s">
        <v>75</v>
      </c>
      <c r="D29" s="138"/>
      <c r="E29" s="138"/>
      <c r="F29" s="138"/>
      <c r="G29" s="138"/>
      <c r="H29" s="138" t="s">
        <v>76</v>
      </c>
      <c r="I29" s="138"/>
      <c r="J29" s="138"/>
      <c r="K29" s="138"/>
      <c r="L29" s="138"/>
      <c r="M29" s="138"/>
      <c r="N29" s="138"/>
      <c r="O29" s="138"/>
    </row>
    <row r="30" spans="1:15" ht="22.5" customHeight="1">
      <c r="A30" s="162" t="s">
        <v>77</v>
      </c>
      <c r="B30" s="141"/>
      <c r="C30" s="163"/>
      <c r="D30" s="163"/>
      <c r="E30" s="163"/>
      <c r="F30" s="163"/>
      <c r="G30" s="163"/>
      <c r="H30" s="164"/>
      <c r="I30" s="164"/>
      <c r="J30" s="164"/>
      <c r="K30" s="164"/>
      <c r="L30" s="164"/>
      <c r="M30" s="164"/>
      <c r="N30" s="164"/>
      <c r="O30" s="165"/>
    </row>
    <row r="31" spans="1:15" ht="28.25" customHeight="1">
      <c r="A31" s="174" t="s">
        <v>78</v>
      </c>
      <c r="B31" s="174"/>
      <c r="C31" s="171" t="s">
        <v>295</v>
      </c>
      <c r="D31" s="172"/>
      <c r="E31" s="172"/>
      <c r="F31" s="172"/>
      <c r="G31" s="173"/>
      <c r="H31" s="166" t="s">
        <v>79</v>
      </c>
      <c r="I31" s="167"/>
      <c r="J31" s="167"/>
      <c r="K31" s="167"/>
      <c r="L31" s="167"/>
      <c r="M31" s="167"/>
      <c r="N31" s="167"/>
      <c r="O31" s="168"/>
    </row>
    <row r="32" spans="1:15" ht="65.5" customHeight="1">
      <c r="A32" s="169" t="s">
        <v>80</v>
      </c>
      <c r="B32" s="170"/>
      <c r="C32" s="171" t="s">
        <v>295</v>
      </c>
      <c r="D32" s="172"/>
      <c r="E32" s="172"/>
      <c r="F32" s="172"/>
      <c r="G32" s="173"/>
      <c r="H32" s="166" t="s">
        <v>81</v>
      </c>
      <c r="I32" s="167"/>
      <c r="J32" s="167"/>
      <c r="K32" s="167"/>
      <c r="L32" s="167"/>
      <c r="M32" s="167"/>
      <c r="N32" s="167"/>
      <c r="O32" s="168"/>
    </row>
    <row r="33" spans="1:15" ht="46.5" customHeight="1">
      <c r="A33" s="169" t="s">
        <v>82</v>
      </c>
      <c r="B33" s="170"/>
      <c r="C33" s="171" t="s">
        <v>295</v>
      </c>
      <c r="D33" s="172"/>
      <c r="E33" s="172"/>
      <c r="F33" s="172"/>
      <c r="G33" s="173"/>
      <c r="H33" s="166" t="s">
        <v>83</v>
      </c>
      <c r="I33" s="167"/>
      <c r="J33" s="167"/>
      <c r="K33" s="167"/>
      <c r="L33" s="167"/>
      <c r="M33" s="167"/>
      <c r="N33" s="167"/>
      <c r="O33" s="168"/>
    </row>
    <row r="34" spans="1:15" ht="55" customHeight="1">
      <c r="A34" s="169" t="s">
        <v>84</v>
      </c>
      <c r="B34" s="170"/>
      <c r="C34" s="171" t="s">
        <v>295</v>
      </c>
      <c r="D34" s="172"/>
      <c r="E34" s="172"/>
      <c r="F34" s="172"/>
      <c r="G34" s="173"/>
      <c r="H34" s="166" t="s">
        <v>85</v>
      </c>
      <c r="I34" s="167"/>
      <c r="J34" s="167"/>
      <c r="K34" s="167"/>
      <c r="L34" s="167"/>
      <c r="M34" s="167"/>
      <c r="N34" s="167"/>
      <c r="O34" s="168"/>
    </row>
    <row r="35" spans="1:15" ht="46" customHeight="1">
      <c r="A35" s="174" t="s">
        <v>86</v>
      </c>
      <c r="B35" s="174"/>
      <c r="C35" s="171" t="s">
        <v>295</v>
      </c>
      <c r="D35" s="172"/>
      <c r="E35" s="172"/>
      <c r="F35" s="172"/>
      <c r="G35" s="173"/>
      <c r="H35" s="166" t="s">
        <v>87</v>
      </c>
      <c r="I35" s="167"/>
      <c r="J35" s="167"/>
      <c r="K35" s="167"/>
      <c r="L35" s="167"/>
      <c r="M35" s="167"/>
      <c r="N35" s="167"/>
      <c r="O35" s="168"/>
    </row>
    <row r="36" spans="1:15" ht="46.5" customHeight="1">
      <c r="A36" s="169"/>
      <c r="B36" s="170"/>
      <c r="C36" s="171"/>
      <c r="D36" s="172"/>
      <c r="E36" s="172"/>
      <c r="F36" s="172"/>
      <c r="G36" s="173"/>
      <c r="H36" s="166"/>
      <c r="I36" s="167"/>
      <c r="J36" s="167"/>
      <c r="K36" s="167"/>
      <c r="L36" s="167"/>
      <c r="M36" s="167"/>
      <c r="N36" s="167"/>
      <c r="O36" s="168"/>
    </row>
    <row r="37" spans="1:15" ht="46.5" customHeight="1">
      <c r="A37" s="169"/>
      <c r="B37" s="170"/>
      <c r="C37" s="175"/>
      <c r="D37" s="175"/>
      <c r="E37" s="175"/>
      <c r="F37" s="175"/>
      <c r="G37" s="175"/>
      <c r="H37" s="166"/>
      <c r="I37" s="167"/>
      <c r="J37" s="167"/>
      <c r="K37" s="167"/>
      <c r="L37" s="167"/>
      <c r="M37" s="167"/>
      <c r="N37" s="167"/>
      <c r="O37" s="168"/>
    </row>
    <row r="38" spans="1:15" ht="46.5" customHeight="1">
      <c r="A38" s="169"/>
      <c r="B38" s="170"/>
      <c r="C38" s="175"/>
      <c r="D38" s="175"/>
      <c r="E38" s="175"/>
      <c r="F38" s="175"/>
      <c r="G38" s="175"/>
      <c r="H38" s="166"/>
      <c r="I38" s="167"/>
      <c r="J38" s="167"/>
      <c r="K38" s="167"/>
      <c r="L38" s="167"/>
      <c r="M38" s="167"/>
      <c r="N38" s="167"/>
      <c r="O38" s="168"/>
    </row>
    <row r="39" spans="1:15" ht="46.5" customHeight="1">
      <c r="A39" s="169"/>
      <c r="B39" s="170"/>
      <c r="C39" s="175"/>
      <c r="D39" s="175"/>
      <c r="E39" s="175"/>
      <c r="F39" s="175"/>
      <c r="G39" s="175"/>
      <c r="H39" s="166"/>
      <c r="I39" s="167"/>
      <c r="J39" s="167"/>
      <c r="K39" s="167"/>
      <c r="L39" s="167"/>
      <c r="M39" s="167"/>
      <c r="N39" s="167"/>
      <c r="O39" s="168"/>
    </row>
    <row r="40" spans="1:15" ht="47.5" customHeight="1">
      <c r="A40" s="174"/>
      <c r="B40" s="174"/>
      <c r="C40" s="175"/>
      <c r="D40" s="175"/>
      <c r="E40" s="175"/>
      <c r="F40" s="175"/>
      <c r="G40" s="175"/>
      <c r="H40" s="166"/>
      <c r="I40" s="167"/>
      <c r="J40" s="167"/>
      <c r="K40" s="167"/>
      <c r="L40" s="167"/>
      <c r="M40" s="167"/>
      <c r="N40" s="167"/>
      <c r="O40" s="168"/>
    </row>
    <row r="41" spans="1:15" ht="20" customHeight="1">
      <c r="A41" s="176" t="s">
        <v>88</v>
      </c>
      <c r="B41" s="176"/>
      <c r="C41" s="176"/>
      <c r="D41" s="176"/>
      <c r="E41" s="176"/>
      <c r="F41" s="176"/>
      <c r="G41" s="176"/>
      <c r="H41" s="176"/>
      <c r="I41" s="176"/>
      <c r="J41" s="176"/>
      <c r="K41" s="176"/>
      <c r="L41" s="176"/>
      <c r="M41" s="176"/>
      <c r="N41" s="176"/>
      <c r="O41" s="176"/>
    </row>
    <row r="42" spans="1:15" ht="16.25" customHeight="1"/>
    <row r="44" spans="1:15" ht="29" customHeight="1"/>
    <row r="45" spans="1:15" ht="18" customHeight="1"/>
    <row r="47" spans="1:15" ht="31.25" customHeight="1"/>
  </sheetData>
  <mergeCells count="105">
    <mergeCell ref="A40:B40"/>
    <mergeCell ref="C40:G40"/>
    <mergeCell ref="H40:O40"/>
    <mergeCell ref="A41:O41"/>
    <mergeCell ref="M14:M15"/>
    <mergeCell ref="N14:O15"/>
    <mergeCell ref="A14:B15"/>
    <mergeCell ref="C14:F15"/>
    <mergeCell ref="G14:I15"/>
    <mergeCell ref="J14:L15"/>
    <mergeCell ref="A37:B37"/>
    <mergeCell ref="C37:G37"/>
    <mergeCell ref="H37:O37"/>
    <mergeCell ref="A38:B38"/>
    <mergeCell ref="C38:G38"/>
    <mergeCell ref="H38:O38"/>
    <mergeCell ref="A39:B39"/>
    <mergeCell ref="C39:G39"/>
    <mergeCell ref="H39:O39"/>
    <mergeCell ref="A34:B34"/>
    <mergeCell ref="C34:G34"/>
    <mergeCell ref="H34:O34"/>
    <mergeCell ref="A35:B35"/>
    <mergeCell ref="C35:G35"/>
    <mergeCell ref="H35:O35"/>
    <mergeCell ref="A36:B36"/>
    <mergeCell ref="C36:G36"/>
    <mergeCell ref="H36:O36"/>
    <mergeCell ref="A31:B31"/>
    <mergeCell ref="C31:G31"/>
    <mergeCell ref="H31:O31"/>
    <mergeCell ref="A32:B32"/>
    <mergeCell ref="C32:G32"/>
    <mergeCell ref="H32:O32"/>
    <mergeCell ref="A33:B33"/>
    <mergeCell ref="C33:G33"/>
    <mergeCell ref="H33:O33"/>
    <mergeCell ref="A25:O25"/>
    <mergeCell ref="A26:O26"/>
    <mergeCell ref="A27:O27"/>
    <mergeCell ref="A28:O28"/>
    <mergeCell ref="A29:B29"/>
    <mergeCell ref="C29:G29"/>
    <mergeCell ref="H29:O29"/>
    <mergeCell ref="A30:B30"/>
    <mergeCell ref="C30:G30"/>
    <mergeCell ref="H30:O30"/>
    <mergeCell ref="A20:B20"/>
    <mergeCell ref="C20:F20"/>
    <mergeCell ref="G20:I20"/>
    <mergeCell ref="J20:L20"/>
    <mergeCell ref="N20:O20"/>
    <mergeCell ref="A21:O21"/>
    <mergeCell ref="A22:O22"/>
    <mergeCell ref="A23:O23"/>
    <mergeCell ref="A24:O24"/>
    <mergeCell ref="A18:B18"/>
    <mergeCell ref="C18:F18"/>
    <mergeCell ref="G18:I18"/>
    <mergeCell ref="J18:L18"/>
    <mergeCell ref="N18:O18"/>
    <mergeCell ref="A19:B19"/>
    <mergeCell ref="C19:F19"/>
    <mergeCell ref="G19:I19"/>
    <mergeCell ref="J19:L19"/>
    <mergeCell ref="N19:O19"/>
    <mergeCell ref="A13:O13"/>
    <mergeCell ref="A16:B16"/>
    <mergeCell ref="C16:F16"/>
    <mergeCell ref="G16:I16"/>
    <mergeCell ref="J16:L16"/>
    <mergeCell ref="N16:O16"/>
    <mergeCell ref="A17:B17"/>
    <mergeCell ref="C17:F17"/>
    <mergeCell ref="G17:I17"/>
    <mergeCell ref="J17:L17"/>
    <mergeCell ref="N17:O17"/>
    <mergeCell ref="B9:C9"/>
    <mergeCell ref="D9:E9"/>
    <mergeCell ref="F9:O9"/>
    <mergeCell ref="B10:C10"/>
    <mergeCell ref="D10:O10"/>
    <mergeCell ref="B11:C11"/>
    <mergeCell ref="D11:O11"/>
    <mergeCell ref="B12:C12"/>
    <mergeCell ref="D12:L12"/>
    <mergeCell ref="M12:O12"/>
    <mergeCell ref="B5:C5"/>
    <mergeCell ref="D5:O5"/>
    <mergeCell ref="B6:C6"/>
    <mergeCell ref="D6:O6"/>
    <mergeCell ref="B7:C7"/>
    <mergeCell ref="D7:F7"/>
    <mergeCell ref="B8:C8"/>
    <mergeCell ref="D8:F8"/>
    <mergeCell ref="H8:J8"/>
    <mergeCell ref="A1:O1"/>
    <mergeCell ref="B2:C2"/>
    <mergeCell ref="D2:O2"/>
    <mergeCell ref="B3:C3"/>
    <mergeCell ref="D3:O3"/>
    <mergeCell ref="B4:C4"/>
    <mergeCell ref="D4:H4"/>
    <mergeCell ref="I4:K4"/>
    <mergeCell ref="L4:O4"/>
  </mergeCells>
  <hyperlinks>
    <hyperlink ref="P1" location="'Index '!A1" display="Index" xr:uid="{00000000-0004-0000-0100-000000000000}"/>
    <hyperlink ref="G16" r:id="rId1" xr:uid="{29B92E6B-3143-4DF1-975B-C7DA81EB075F}"/>
  </hyperlinks>
  <pageMargins left="0.7" right="0.7" top="0.75" bottom="0.75" header="0.3" footer="0.3"/>
  <pageSetup scale="71" fitToHeight="0" orientation="portrait"/>
  <drawing r:id="rId2"/>
  <legacyDrawing r:id="rId3"/>
  <mc:AlternateContent xmlns:mc="http://schemas.openxmlformats.org/markup-compatibility/2006">
    <mc:Choice Requires="x14">
      <controls>
        <mc:AlternateContent xmlns:mc="http://schemas.openxmlformats.org/markup-compatibility/2006">
          <mc:Choice Requires="x14">
            <control shapeId="17409" r:id="rId4" name="Check Box 1">
              <controlPr defaultSize="0" autoPict="0">
                <anchor moveWithCells="1">
                  <from>
                    <xdr:col>3</xdr:col>
                    <xdr:colOff>44450</xdr:colOff>
                    <xdr:row>11</xdr:row>
                    <xdr:rowOff>82550</xdr:rowOff>
                  </from>
                  <to>
                    <xdr:col>4</xdr:col>
                    <xdr:colOff>469900</xdr:colOff>
                    <xdr:row>11</xdr:row>
                    <xdr:rowOff>298450</xdr:rowOff>
                  </to>
                </anchor>
              </controlPr>
            </control>
          </mc:Choice>
        </mc:AlternateContent>
        <mc:AlternateContent xmlns:mc="http://schemas.openxmlformats.org/markup-compatibility/2006">
          <mc:Choice Requires="x14">
            <control shapeId="17410" r:id="rId5" name="Check Box 2">
              <controlPr defaultSize="0" autoPict="0">
                <anchor moveWithCells="1">
                  <from>
                    <xdr:col>5</xdr:col>
                    <xdr:colOff>63500</xdr:colOff>
                    <xdr:row>11</xdr:row>
                    <xdr:rowOff>76200</xdr:rowOff>
                  </from>
                  <to>
                    <xdr:col>10</xdr:col>
                    <xdr:colOff>171450</xdr:colOff>
                    <xdr:row>11</xdr:row>
                    <xdr:rowOff>285750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25"/>
  <sheetViews>
    <sheetView topLeftCell="A4" zoomScale="90" zoomScaleNormal="90" workbookViewId="0">
      <selection activeCell="F16" sqref="F16:I16"/>
    </sheetView>
  </sheetViews>
  <sheetFormatPr defaultColWidth="12" defaultRowHeight="14.5"/>
  <cols>
    <col min="1" max="1" width="5.453125" style="1" customWidth="1"/>
    <col min="2" max="2" width="14.90625" style="1" customWidth="1"/>
    <col min="3" max="3" width="2.7265625" style="1" customWidth="1"/>
    <col min="4" max="4" width="4.54296875" style="1" customWidth="1"/>
    <col min="5" max="5" width="7.26953125" style="1" customWidth="1"/>
    <col min="6" max="6" width="7.81640625" style="1" customWidth="1"/>
    <col min="7" max="8" width="4" style="1" customWidth="1"/>
    <col min="9" max="9" width="16.90625" style="1" customWidth="1"/>
    <col min="10" max="10" width="4" style="1" customWidth="1"/>
    <col min="11" max="11" width="5.6328125" style="1" customWidth="1"/>
    <col min="12" max="12" width="12.1796875" style="1" customWidth="1"/>
    <col min="13" max="13" width="5.453125" style="1" customWidth="1"/>
    <col min="14" max="14" width="6.7265625" style="1" customWidth="1"/>
    <col min="15" max="15" width="11.6328125" style="1" customWidth="1"/>
    <col min="16" max="16384" width="12" style="1"/>
  </cols>
  <sheetData>
    <row r="1" spans="1:16" ht="60" customHeight="1">
      <c r="A1" s="184" t="s">
        <v>89</v>
      </c>
      <c r="B1" s="185"/>
      <c r="C1" s="185"/>
      <c r="D1" s="185"/>
      <c r="E1" s="185"/>
      <c r="F1" s="186"/>
      <c r="G1" s="186"/>
      <c r="H1" s="186"/>
      <c r="I1" s="186"/>
      <c r="J1" s="186"/>
      <c r="K1" s="185"/>
      <c r="L1" s="186"/>
      <c r="M1" s="186"/>
      <c r="N1" s="186"/>
      <c r="O1" s="187"/>
      <c r="P1" s="51" t="s">
        <v>47</v>
      </c>
    </row>
    <row r="2" spans="1:16" ht="31.5" customHeight="1">
      <c r="A2" s="188" t="s">
        <v>48</v>
      </c>
      <c r="B2" s="189"/>
      <c r="C2" s="189"/>
      <c r="D2" s="189"/>
      <c r="E2" s="190"/>
      <c r="F2" s="191" t="str">
        <f>IF(NM=0," ",NM)</f>
        <v xml:space="preserve">DLMM ENTERPRISE </v>
      </c>
      <c r="G2" s="192"/>
      <c r="H2" s="192"/>
      <c r="I2" s="192"/>
      <c r="J2" s="192"/>
      <c r="K2" s="193" t="s">
        <v>39</v>
      </c>
      <c r="L2" s="192"/>
      <c r="M2" s="192"/>
      <c r="N2" s="192"/>
      <c r="O2" s="194"/>
    </row>
    <row r="3" spans="1:16" ht="41.5" customHeight="1">
      <c r="A3" s="188" t="s">
        <v>3</v>
      </c>
      <c r="B3" s="189"/>
      <c r="C3" s="189"/>
      <c r="D3" s="189"/>
      <c r="E3" s="190"/>
      <c r="F3" s="191" t="str">
        <f>IF(AD=0," ",AD)</f>
        <v>Ground Floor, Plot No. 205, Sector No. 7, Gandhidham, Kachchh, Gujarat - 370201, India</v>
      </c>
      <c r="G3" s="192"/>
      <c r="H3" s="192"/>
      <c r="I3" s="192"/>
      <c r="J3" s="192"/>
      <c r="K3" s="193"/>
      <c r="L3" s="192"/>
      <c r="M3" s="192"/>
      <c r="N3" s="192"/>
      <c r="O3" s="194"/>
    </row>
    <row r="4" spans="1:16" ht="28.25" customHeight="1">
      <c r="A4" s="152" t="s">
        <v>90</v>
      </c>
      <c r="B4" s="153"/>
      <c r="C4" s="153"/>
      <c r="D4" s="153"/>
      <c r="E4" s="153"/>
      <c r="F4" s="195">
        <f>IF(DAT=0," ",DAT)</f>
        <v>46046</v>
      </c>
      <c r="G4" s="195"/>
      <c r="H4" s="195"/>
      <c r="I4" s="195"/>
      <c r="J4" s="195"/>
      <c r="K4" s="52" t="s">
        <v>39</v>
      </c>
      <c r="L4" s="195">
        <f>IF(DET=0," ",DET)</f>
        <v>46046</v>
      </c>
      <c r="M4" s="195"/>
      <c r="N4" s="195"/>
      <c r="O4" s="195"/>
    </row>
    <row r="5" spans="1:16" ht="28.25" customHeight="1">
      <c r="A5" s="188" t="s">
        <v>91</v>
      </c>
      <c r="B5" s="189"/>
      <c r="C5" s="189"/>
      <c r="D5" s="189"/>
      <c r="E5" s="190"/>
      <c r="F5" s="191" t="str">
        <f>'[1]F03 App Rev &amp; F03-01 Aud Pln'!B8</f>
        <v>ISO 9001:2015</v>
      </c>
      <c r="G5" s="192"/>
      <c r="H5" s="192"/>
      <c r="I5" s="192"/>
      <c r="J5" s="192"/>
      <c r="K5" s="193"/>
      <c r="L5" s="192"/>
      <c r="M5" s="192"/>
      <c r="N5" s="192"/>
      <c r="O5" s="194"/>
    </row>
    <row r="6" spans="1:16" ht="21" customHeight="1">
      <c r="A6" s="196" t="s">
        <v>92</v>
      </c>
      <c r="B6" s="196"/>
      <c r="C6" s="196"/>
      <c r="D6" s="196"/>
      <c r="E6" s="196"/>
      <c r="F6" s="196"/>
      <c r="G6" s="196"/>
      <c r="H6" s="196"/>
      <c r="I6" s="196"/>
      <c r="J6" s="196"/>
      <c r="K6" s="196"/>
      <c r="L6" s="196"/>
      <c r="M6" s="196"/>
      <c r="N6" s="196"/>
      <c r="O6" s="196"/>
    </row>
    <row r="7" spans="1:16" ht="28.25" customHeight="1">
      <c r="A7" s="204" t="s">
        <v>93</v>
      </c>
      <c r="B7" s="206" t="s">
        <v>63</v>
      </c>
      <c r="C7" s="207"/>
      <c r="D7" s="207"/>
      <c r="E7" s="208"/>
      <c r="F7" s="206" t="s">
        <v>94</v>
      </c>
      <c r="G7" s="207"/>
      <c r="H7" s="207"/>
      <c r="I7" s="208"/>
      <c r="J7" s="197" t="s">
        <v>95</v>
      </c>
      <c r="K7" s="198"/>
      <c r="L7" s="198"/>
      <c r="M7" s="198"/>
      <c r="N7" s="198"/>
      <c r="O7" s="199"/>
    </row>
    <row r="8" spans="1:16" ht="28.25" customHeight="1">
      <c r="A8" s="205"/>
      <c r="B8" s="209"/>
      <c r="C8" s="210"/>
      <c r="D8" s="210"/>
      <c r="E8" s="211"/>
      <c r="F8" s="209"/>
      <c r="G8" s="210"/>
      <c r="H8" s="210"/>
      <c r="I8" s="211"/>
      <c r="J8" s="200" t="s">
        <v>96</v>
      </c>
      <c r="K8" s="201"/>
      <c r="L8" s="202"/>
      <c r="M8" s="200" t="s">
        <v>97</v>
      </c>
      <c r="N8" s="201"/>
      <c r="O8" s="202"/>
    </row>
    <row r="9" spans="1:16" s="47" customFormat="1" ht="28.25" customHeight="1">
      <c r="A9" s="48">
        <v>1</v>
      </c>
      <c r="B9" s="203" t="str">
        <f>'F02 Application Form'!B27</f>
        <v>Meraj Sahab</v>
      </c>
      <c r="C9" s="203"/>
      <c r="D9" s="203"/>
      <c r="E9" s="203"/>
      <c r="F9" s="203" t="str">
        <f>'F02 Application Form'!A27</f>
        <v>Lead Auditor</v>
      </c>
      <c r="G9" s="203"/>
      <c r="H9" s="203"/>
      <c r="I9" s="203"/>
      <c r="J9" s="203" t="s">
        <v>98</v>
      </c>
      <c r="K9" s="203"/>
      <c r="L9" s="203"/>
      <c r="M9" s="203" t="s">
        <v>98</v>
      </c>
      <c r="N9" s="203"/>
      <c r="O9" s="203"/>
    </row>
    <row r="10" spans="1:16" s="47" customFormat="1" ht="28.25" customHeight="1">
      <c r="A10" s="48">
        <v>2</v>
      </c>
      <c r="B10" s="203" t="s">
        <v>291</v>
      </c>
      <c r="C10" s="203"/>
      <c r="D10" s="203"/>
      <c r="E10" s="203"/>
      <c r="F10" s="212" t="s">
        <v>292</v>
      </c>
      <c r="G10" s="212"/>
      <c r="H10" s="212"/>
      <c r="I10" s="212"/>
      <c r="J10" s="203" t="s">
        <v>98</v>
      </c>
      <c r="K10" s="203"/>
      <c r="L10" s="203"/>
      <c r="M10" s="203" t="s">
        <v>98</v>
      </c>
      <c r="N10" s="203"/>
      <c r="O10" s="203"/>
      <c r="P10" s="53"/>
    </row>
    <row r="11" spans="1:16" s="47" customFormat="1" ht="28.25" customHeight="1">
      <c r="A11" s="73">
        <v>3</v>
      </c>
      <c r="B11" s="213" t="s">
        <v>298</v>
      </c>
      <c r="C11" s="214"/>
      <c r="D11" s="214"/>
      <c r="E11" s="215"/>
      <c r="F11" s="203" t="s">
        <v>299</v>
      </c>
      <c r="G11" s="203"/>
      <c r="H11" s="203"/>
      <c r="I11" s="203"/>
      <c r="J11" s="203" t="s">
        <v>98</v>
      </c>
      <c r="K11" s="203"/>
      <c r="L11" s="203"/>
      <c r="M11" s="203" t="s">
        <v>98</v>
      </c>
      <c r="N11" s="203"/>
      <c r="O11" s="203"/>
      <c r="P11" s="53"/>
    </row>
    <row r="12" spans="1:16" s="47" customFormat="1" ht="28.25" customHeight="1">
      <c r="A12" s="76">
        <v>4</v>
      </c>
      <c r="B12" s="203" t="s">
        <v>300</v>
      </c>
      <c r="C12" s="203"/>
      <c r="D12" s="203"/>
      <c r="E12" s="203"/>
      <c r="F12" s="213" t="s">
        <v>301</v>
      </c>
      <c r="G12" s="216"/>
      <c r="H12" s="216"/>
      <c r="I12" s="217"/>
      <c r="J12" s="203" t="s">
        <v>98</v>
      </c>
      <c r="K12" s="203"/>
      <c r="L12" s="203"/>
      <c r="M12" s="203" t="s">
        <v>98</v>
      </c>
      <c r="N12" s="203"/>
      <c r="O12" s="203"/>
      <c r="P12" s="53"/>
    </row>
    <row r="13" spans="1:16" s="47" customFormat="1" ht="28.25" customHeight="1">
      <c r="A13" s="76">
        <v>5</v>
      </c>
      <c r="B13" s="203" t="s">
        <v>302</v>
      </c>
      <c r="C13" s="203"/>
      <c r="D13" s="203"/>
      <c r="E13" s="203"/>
      <c r="F13" s="218" t="s">
        <v>301</v>
      </c>
      <c r="G13" s="214"/>
      <c r="H13" s="214"/>
      <c r="I13" s="215"/>
      <c r="J13" s="203" t="s">
        <v>98</v>
      </c>
      <c r="K13" s="203"/>
      <c r="L13" s="203"/>
      <c r="M13" s="203" t="s">
        <v>98</v>
      </c>
      <c r="N13" s="203"/>
      <c r="O13" s="203"/>
      <c r="P13" s="53"/>
    </row>
    <row r="14" spans="1:16" s="47" customFormat="1" ht="28.25" customHeight="1">
      <c r="A14" s="75">
        <v>6</v>
      </c>
      <c r="B14" s="203" t="s">
        <v>303</v>
      </c>
      <c r="C14" s="203"/>
      <c r="D14" s="203"/>
      <c r="E14" s="203"/>
      <c r="F14" s="203" t="s">
        <v>301</v>
      </c>
      <c r="G14" s="203"/>
      <c r="H14" s="203"/>
      <c r="I14" s="203"/>
      <c r="J14" s="203" t="s">
        <v>98</v>
      </c>
      <c r="K14" s="203"/>
      <c r="L14" s="203"/>
      <c r="M14" s="203" t="s">
        <v>98</v>
      </c>
      <c r="N14" s="203"/>
      <c r="O14" s="203"/>
      <c r="P14" s="53"/>
    </row>
    <row r="15" spans="1:16" ht="28.25" customHeight="1">
      <c r="A15" s="48"/>
      <c r="B15" s="203"/>
      <c r="C15" s="203"/>
      <c r="D15" s="203"/>
      <c r="E15" s="203"/>
      <c r="F15" s="203"/>
      <c r="G15" s="203"/>
      <c r="H15" s="203"/>
      <c r="I15" s="203"/>
      <c r="J15" s="203"/>
      <c r="K15" s="203"/>
      <c r="L15" s="203"/>
      <c r="M15" s="203"/>
      <c r="N15" s="203"/>
      <c r="O15" s="203"/>
    </row>
    <row r="16" spans="1:16" ht="28.25" customHeight="1">
      <c r="A16" s="48"/>
      <c r="B16" s="203"/>
      <c r="C16" s="203"/>
      <c r="D16" s="203"/>
      <c r="E16" s="203"/>
      <c r="F16" s="218"/>
      <c r="G16" s="214"/>
      <c r="H16" s="214"/>
      <c r="I16" s="215"/>
      <c r="J16" s="203"/>
      <c r="K16" s="203"/>
      <c r="L16" s="203"/>
      <c r="M16" s="203"/>
      <c r="N16" s="203"/>
      <c r="O16" s="203"/>
    </row>
    <row r="17" spans="1:15" ht="28.25" customHeight="1">
      <c r="A17" s="49"/>
      <c r="B17" s="219"/>
      <c r="C17" s="219"/>
      <c r="D17" s="219"/>
      <c r="E17" s="219"/>
      <c r="F17" s="219"/>
      <c r="G17" s="219"/>
      <c r="H17" s="219"/>
      <c r="I17" s="219"/>
      <c r="J17" s="219"/>
      <c r="K17" s="219"/>
      <c r="L17" s="219"/>
      <c r="M17" s="219"/>
      <c r="N17" s="219"/>
      <c r="O17" s="219"/>
    </row>
    <row r="18" spans="1:15" ht="18" customHeight="1">
      <c r="A18" s="50"/>
      <c r="B18" s="220"/>
      <c r="C18" s="220"/>
      <c r="D18" s="220"/>
      <c r="E18" s="220"/>
      <c r="F18" s="220"/>
      <c r="G18" s="220"/>
      <c r="H18" s="220"/>
      <c r="I18" s="220"/>
      <c r="J18" s="220"/>
      <c r="K18" s="220"/>
      <c r="L18" s="220"/>
      <c r="M18" s="220"/>
      <c r="N18" s="220"/>
      <c r="O18" s="220"/>
    </row>
    <row r="19" spans="1:15" ht="21.5" customHeight="1">
      <c r="A19" s="221" t="s">
        <v>99</v>
      </c>
      <c r="B19" s="221"/>
      <c r="C19" s="221"/>
      <c r="D19" s="221"/>
      <c r="E19" s="221"/>
      <c r="F19" s="221"/>
      <c r="G19" s="221"/>
      <c r="H19" s="221"/>
      <c r="I19" s="221"/>
      <c r="J19" s="221"/>
      <c r="K19" s="221"/>
      <c r="L19" s="221"/>
      <c r="M19" s="221"/>
      <c r="N19" s="221"/>
      <c r="O19" s="221"/>
    </row>
    <row r="20" spans="1:15" ht="16.25" customHeight="1"/>
    <row r="22" spans="1:15" ht="29" customHeight="1"/>
    <row r="23" spans="1:15" ht="18" customHeight="1"/>
    <row r="25" spans="1:15" ht="31.25" customHeight="1"/>
  </sheetData>
  <mergeCells count="58">
    <mergeCell ref="B18:E18"/>
    <mergeCell ref="F18:I18"/>
    <mergeCell ref="J18:L18"/>
    <mergeCell ref="M18:O18"/>
    <mergeCell ref="A19:O19"/>
    <mergeCell ref="B16:E16"/>
    <mergeCell ref="F16:I16"/>
    <mergeCell ref="J16:L16"/>
    <mergeCell ref="M16:O16"/>
    <mergeCell ref="B17:E17"/>
    <mergeCell ref="F17:I17"/>
    <mergeCell ref="J17:L17"/>
    <mergeCell ref="M17:O17"/>
    <mergeCell ref="B14:E14"/>
    <mergeCell ref="F14:I14"/>
    <mergeCell ref="J14:L14"/>
    <mergeCell ref="M14:O14"/>
    <mergeCell ref="B15:E15"/>
    <mergeCell ref="F15:I15"/>
    <mergeCell ref="J15:L15"/>
    <mergeCell ref="M15:O15"/>
    <mergeCell ref="B12:E12"/>
    <mergeCell ref="F12:I12"/>
    <mergeCell ref="J12:L12"/>
    <mergeCell ref="M12:O12"/>
    <mergeCell ref="B13:E13"/>
    <mergeCell ref="F13:I13"/>
    <mergeCell ref="J13:L13"/>
    <mergeCell ref="M13:O13"/>
    <mergeCell ref="B10:E10"/>
    <mergeCell ref="F10:I10"/>
    <mergeCell ref="J10:L10"/>
    <mergeCell ref="M10:O10"/>
    <mergeCell ref="B11:E11"/>
    <mergeCell ref="F11:I11"/>
    <mergeCell ref="J11:L11"/>
    <mergeCell ref="M11:O11"/>
    <mergeCell ref="A6:O6"/>
    <mergeCell ref="J7:O7"/>
    <mergeCell ref="J8:L8"/>
    <mergeCell ref="M8:O8"/>
    <mergeCell ref="B9:E9"/>
    <mergeCell ref="F9:I9"/>
    <mergeCell ref="J9:L9"/>
    <mergeCell ref="M9:O9"/>
    <mergeCell ref="A7:A8"/>
    <mergeCell ref="B7:E8"/>
    <mergeCell ref="F7:I8"/>
    <mergeCell ref="A4:E4"/>
    <mergeCell ref="F4:J4"/>
    <mergeCell ref="L4:O4"/>
    <mergeCell ref="A5:E5"/>
    <mergeCell ref="F5:O5"/>
    <mergeCell ref="A1:O1"/>
    <mergeCell ref="A2:E2"/>
    <mergeCell ref="F2:O2"/>
    <mergeCell ref="A3:E3"/>
    <mergeCell ref="F3:O3"/>
  </mergeCells>
  <hyperlinks>
    <hyperlink ref="P1" location="'Index '!A1" display="Index" xr:uid="{00000000-0004-0000-0200-000000000000}"/>
  </hyperlinks>
  <pageMargins left="0.7" right="0.7" top="0.75" bottom="0.75" header="0.3" footer="0.3"/>
  <pageSetup scale="56"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A79"/>
  <sheetViews>
    <sheetView topLeftCell="A68" zoomScaleNormal="100" workbookViewId="0">
      <selection activeCell="S68" sqref="S68"/>
    </sheetView>
  </sheetViews>
  <sheetFormatPr defaultColWidth="12" defaultRowHeight="14.5"/>
  <cols>
    <col min="1" max="1" width="7.08984375" style="1" customWidth="1"/>
    <col min="2" max="2" width="22.54296875" style="1" customWidth="1"/>
    <col min="3" max="3" width="7.36328125" style="1" customWidth="1"/>
    <col min="4" max="4" width="6.1796875" style="1" customWidth="1"/>
    <col min="5" max="5" width="10.54296875" style="1" customWidth="1"/>
    <col min="6" max="6" width="5.26953125" style="1" customWidth="1"/>
    <col min="7" max="7" width="5.54296875" style="1" customWidth="1"/>
    <col min="8" max="8" width="6" style="1" customWidth="1"/>
    <col min="9" max="9" width="9.453125" style="1" customWidth="1"/>
    <col min="10" max="10" width="6.1796875" style="1" customWidth="1"/>
    <col min="11" max="11" width="5.54296875" style="1" customWidth="1"/>
    <col min="12" max="12" width="13.26953125" style="1" customWidth="1"/>
    <col min="13" max="13" width="6.54296875" style="1" customWidth="1"/>
    <col min="14" max="14" width="6" style="1" customWidth="1"/>
    <col min="15" max="15" width="11.08984375" style="1" customWidth="1"/>
    <col min="16" max="16" width="0.90625" style="1" customWidth="1"/>
    <col min="17" max="17" width="5.08984375" style="1" customWidth="1"/>
    <col min="18" max="16384" width="12" style="1"/>
  </cols>
  <sheetData>
    <row r="1" spans="1:16" ht="67" customHeight="1">
      <c r="A1" s="222" t="s">
        <v>100</v>
      </c>
      <c r="B1" s="223"/>
      <c r="C1" s="223"/>
      <c r="D1" s="223"/>
      <c r="E1" s="223"/>
      <c r="F1" s="223"/>
      <c r="G1" s="223"/>
      <c r="H1" s="223"/>
      <c r="I1" s="223"/>
      <c r="J1" s="223"/>
      <c r="K1" s="223"/>
      <c r="L1" s="223"/>
      <c r="M1" s="223"/>
      <c r="N1" s="223"/>
      <c r="O1" s="223"/>
      <c r="P1" s="33"/>
    </row>
    <row r="2" spans="1:16" ht="14.5" customHeight="1">
      <c r="A2" s="224" t="s">
        <v>101</v>
      </c>
      <c r="B2" s="225"/>
      <c r="C2" s="225"/>
      <c r="D2" s="225"/>
      <c r="E2" s="225"/>
      <c r="F2" s="225"/>
      <c r="G2" s="225"/>
      <c r="H2" s="225"/>
      <c r="I2" s="225"/>
      <c r="J2" s="225"/>
      <c r="K2" s="225"/>
      <c r="L2" s="225"/>
      <c r="M2" s="225"/>
      <c r="N2" s="225"/>
      <c r="O2" s="225"/>
      <c r="P2" s="34"/>
    </row>
    <row r="3" spans="1:16" ht="18" customHeight="1">
      <c r="A3" s="226" t="s">
        <v>102</v>
      </c>
      <c r="B3" s="227"/>
      <c r="C3" s="227"/>
      <c r="D3" s="227"/>
      <c r="E3" s="227"/>
      <c r="F3" s="227"/>
      <c r="G3" s="227"/>
      <c r="H3" s="227"/>
      <c r="I3" s="227"/>
      <c r="J3" s="227"/>
      <c r="K3" s="227"/>
      <c r="L3" s="227"/>
      <c r="M3" s="227"/>
      <c r="N3" s="227"/>
      <c r="O3" s="228"/>
      <c r="P3" s="34"/>
    </row>
    <row r="4" spans="1:16" ht="51" customHeight="1">
      <c r="A4" s="19">
        <v>1.1000000000000001</v>
      </c>
      <c r="B4" s="200" t="s">
        <v>48</v>
      </c>
      <c r="C4" s="229"/>
      <c r="D4" s="230" t="str">
        <f>IF(NM=0," ",NM)</f>
        <v xml:space="preserve">DLMM ENTERPRISE </v>
      </c>
      <c r="E4" s="231"/>
      <c r="F4" s="231"/>
      <c r="G4" s="231"/>
      <c r="H4" s="231"/>
      <c r="I4" s="231"/>
      <c r="J4" s="231"/>
      <c r="K4" s="231"/>
      <c r="L4" s="231"/>
      <c r="M4" s="231"/>
      <c r="N4" s="231"/>
      <c r="O4" s="232"/>
      <c r="P4" s="34"/>
    </row>
    <row r="5" spans="1:16" ht="46" customHeight="1">
      <c r="A5" s="19">
        <v>1.2</v>
      </c>
      <c r="B5" s="200" t="s">
        <v>3</v>
      </c>
      <c r="C5" s="229"/>
      <c r="D5" s="230" t="str">
        <f>IF(AD=0," ",AD)</f>
        <v>Ground Floor, Plot No. 205, Sector No. 7, Gandhidham, Kachchh, Gujarat - 370201, India</v>
      </c>
      <c r="E5" s="231"/>
      <c r="F5" s="231"/>
      <c r="G5" s="231"/>
      <c r="H5" s="231"/>
      <c r="I5" s="231"/>
      <c r="J5" s="231"/>
      <c r="K5" s="231"/>
      <c r="L5" s="231"/>
      <c r="M5" s="231"/>
      <c r="N5" s="231"/>
      <c r="O5" s="232"/>
      <c r="P5" s="34"/>
    </row>
    <row r="6" spans="1:16" ht="30" customHeight="1">
      <c r="A6" s="19">
        <v>1.3</v>
      </c>
      <c r="B6" s="200" t="s">
        <v>6</v>
      </c>
      <c r="C6" s="229"/>
      <c r="D6" s="230" t="str">
        <f>IF(CP=0," ",CP)</f>
        <v>Manish Karsanbhai maheshwari</v>
      </c>
      <c r="E6" s="231"/>
      <c r="F6" s="231"/>
      <c r="G6" s="231"/>
      <c r="H6" s="232"/>
      <c r="I6" s="200" t="s">
        <v>49</v>
      </c>
      <c r="J6" s="233"/>
      <c r="K6" s="229"/>
      <c r="L6" s="230" t="str">
        <f>IF(NUM=0," ",NUM)</f>
        <v>9650086955</v>
      </c>
      <c r="M6" s="231"/>
      <c r="N6" s="231"/>
      <c r="O6" s="232"/>
      <c r="P6" s="34"/>
    </row>
    <row r="7" spans="1:16" ht="23" customHeight="1">
      <c r="A7" s="19">
        <v>1.4</v>
      </c>
      <c r="B7" s="200" t="s">
        <v>50</v>
      </c>
      <c r="C7" s="229"/>
      <c r="D7" s="230" t="s">
        <v>51</v>
      </c>
      <c r="E7" s="231"/>
      <c r="F7" s="231"/>
      <c r="G7" s="231"/>
      <c r="H7" s="232"/>
      <c r="I7" s="200" t="s">
        <v>103</v>
      </c>
      <c r="J7" s="233"/>
      <c r="K7" s="229"/>
      <c r="L7" s="234" t="str">
        <f>IF(EM=0," ",EM)</f>
        <v>manish@gmail.com</v>
      </c>
      <c r="M7" s="235"/>
      <c r="N7" s="235"/>
      <c r="O7" s="236"/>
      <c r="P7" s="34"/>
    </row>
    <row r="8" spans="1:16" ht="30" customHeight="1">
      <c r="A8" s="19">
        <v>1.5</v>
      </c>
      <c r="B8" s="200" t="s">
        <v>52</v>
      </c>
      <c r="C8" s="229"/>
      <c r="D8" s="237" t="str">
        <f>'[1]F03 App Rev &amp; F03-01 Aud Pln'!B8</f>
        <v>ISO 9001:2015</v>
      </c>
      <c r="E8" s="238"/>
      <c r="F8" s="238"/>
      <c r="G8" s="238"/>
      <c r="H8" s="238"/>
      <c r="I8" s="238"/>
      <c r="J8" s="238"/>
      <c r="K8" s="238"/>
      <c r="L8" s="238"/>
      <c r="M8" s="238"/>
      <c r="N8" s="238"/>
      <c r="O8" s="239"/>
      <c r="P8" s="34"/>
    </row>
    <row r="9" spans="1:16" ht="47.5" customHeight="1">
      <c r="A9" s="19">
        <v>1.6</v>
      </c>
      <c r="B9" s="200" t="s">
        <v>8</v>
      </c>
      <c r="C9" s="229"/>
      <c r="D9" s="230" t="str">
        <f>IF(SC=0," ",SC)</f>
        <v>Machanized Housekeeping Services, Man Power Supply, Cleaning and Sanitation Services, Security Services, Facility Management Services, HR Human Resources, Outsourcing Services Skilled Unskilled Semi Skilled Worker Supply Labour Supply Outsourcing Services Manpower Requirement Agency Paramedical Staff Supply Civil and Electrical Services Manpower Supply Supervision Services Management Services Loading and Unloading Services Agriculture Services Gardening Services Maintenance Services</v>
      </c>
      <c r="E9" s="231"/>
      <c r="F9" s="231"/>
      <c r="G9" s="231"/>
      <c r="H9" s="231"/>
      <c r="I9" s="231"/>
      <c r="J9" s="231"/>
      <c r="K9" s="231"/>
      <c r="L9" s="231"/>
      <c r="M9" s="231"/>
      <c r="N9" s="231"/>
      <c r="O9" s="232"/>
      <c r="P9" s="34"/>
    </row>
    <row r="10" spans="1:16" ht="28.25" customHeight="1">
      <c r="A10" s="20" t="s">
        <v>104</v>
      </c>
      <c r="B10" s="200" t="s">
        <v>56</v>
      </c>
      <c r="C10" s="229"/>
      <c r="D10" s="230">
        <f>IF(IF=0," ",IF)</f>
        <v>35</v>
      </c>
      <c r="E10" s="231"/>
      <c r="F10" s="231"/>
      <c r="G10" s="231"/>
      <c r="H10" s="231"/>
      <c r="I10" s="231"/>
      <c r="J10" s="231"/>
      <c r="K10" s="231"/>
      <c r="L10" s="231"/>
      <c r="M10" s="231"/>
      <c r="N10" s="231"/>
      <c r="O10" s="232"/>
      <c r="P10" s="34"/>
    </row>
    <row r="11" spans="1:16" ht="27" customHeight="1">
      <c r="A11" s="19">
        <v>1.8</v>
      </c>
      <c r="B11" s="200" t="s">
        <v>60</v>
      </c>
      <c r="C11" s="229"/>
      <c r="D11" s="240" t="s">
        <v>18</v>
      </c>
      <c r="E11" s="241"/>
      <c r="F11" s="241"/>
      <c r="G11" s="241"/>
      <c r="H11" s="241"/>
      <c r="I11" s="241"/>
      <c r="J11" s="241"/>
      <c r="K11" s="241"/>
      <c r="L11" s="241"/>
      <c r="M11" s="241"/>
      <c r="N11" s="241"/>
      <c r="O11" s="242"/>
      <c r="P11" s="34"/>
    </row>
    <row r="12" spans="1:16" ht="25.25" customHeight="1">
      <c r="A12" s="20" t="s">
        <v>57</v>
      </c>
      <c r="B12" s="200" t="s">
        <v>105</v>
      </c>
      <c r="C12" s="229"/>
      <c r="D12" s="243">
        <f>IF(DAT=0," ",DAT)</f>
        <v>46046</v>
      </c>
      <c r="E12" s="244"/>
      <c r="F12" s="21" t="s">
        <v>106</v>
      </c>
      <c r="G12" s="245">
        <f>IF(DET=0," ",DET)</f>
        <v>46046</v>
      </c>
      <c r="H12" s="245"/>
      <c r="I12" s="245"/>
      <c r="J12" s="21"/>
      <c r="K12" s="21"/>
      <c r="L12" s="21"/>
      <c r="M12" s="21"/>
      <c r="N12" s="21"/>
      <c r="O12" s="35"/>
      <c r="P12" s="34"/>
    </row>
    <row r="13" spans="1:16" ht="25.25" customHeight="1">
      <c r="A13" s="246" t="s">
        <v>107</v>
      </c>
      <c r="B13" s="247"/>
      <c r="C13" s="247"/>
      <c r="D13" s="247"/>
      <c r="E13" s="247"/>
      <c r="F13" s="247"/>
      <c r="G13" s="247"/>
      <c r="H13" s="247"/>
      <c r="I13" s="247"/>
      <c r="J13" s="247"/>
      <c r="K13" s="247"/>
      <c r="L13" s="247"/>
      <c r="M13" s="247"/>
      <c r="N13" s="247"/>
      <c r="O13" s="248"/>
      <c r="P13" s="34"/>
    </row>
    <row r="14" spans="1:16" ht="18" customHeight="1">
      <c r="A14" s="178" t="s">
        <v>63</v>
      </c>
      <c r="B14" s="179"/>
      <c r="C14" s="178" t="s">
        <v>64</v>
      </c>
      <c r="D14" s="182"/>
      <c r="E14" s="182"/>
      <c r="F14" s="179"/>
      <c r="G14" s="177" t="s">
        <v>49</v>
      </c>
      <c r="H14" s="177"/>
      <c r="I14" s="177"/>
      <c r="J14" s="177" t="s">
        <v>9</v>
      </c>
      <c r="K14" s="177"/>
      <c r="L14" s="177"/>
      <c r="M14" s="177" t="s">
        <v>65</v>
      </c>
      <c r="N14" s="177" t="s">
        <v>66</v>
      </c>
      <c r="O14" s="177"/>
      <c r="P14" s="34"/>
    </row>
    <row r="15" spans="1:16" ht="18" customHeight="1">
      <c r="A15" s="180"/>
      <c r="B15" s="181"/>
      <c r="C15" s="180"/>
      <c r="D15" s="183"/>
      <c r="E15" s="183"/>
      <c r="F15" s="181"/>
      <c r="G15" s="177"/>
      <c r="H15" s="177"/>
      <c r="I15" s="177"/>
      <c r="J15" s="177"/>
      <c r="K15" s="177"/>
      <c r="L15" s="177"/>
      <c r="M15" s="177"/>
      <c r="N15" s="177"/>
      <c r="O15" s="177"/>
      <c r="P15" s="34"/>
    </row>
    <row r="16" spans="1:16" ht="27" customHeight="1">
      <c r="A16" s="139" t="str">
        <f>IF(AN=0," ",AN)</f>
        <v>Meraj Sahab</v>
      </c>
      <c r="B16" s="140"/>
      <c r="C16" s="141" t="str">
        <f>IF(LA=0," ",LA)</f>
        <v>Lead Auditor</v>
      </c>
      <c r="D16" s="142"/>
      <c r="E16" s="142"/>
      <c r="F16" s="143"/>
      <c r="G16" s="249" t="str">
        <f>IF('F11&amp;F12-Sur1-Plan&amp;Schedule'!G16=0,,'F11&amp;F12-Sur1-Plan&amp;Schedule'!G16)</f>
        <v>meraj@gmail.com</v>
      </c>
      <c r="H16" s="145"/>
      <c r="I16" s="145"/>
      <c r="J16" s="145" t="str">
        <f>IF(AUDITOR1STD=0," ",AUDITOR1STD)</f>
        <v>ISO 9001:2015</v>
      </c>
      <c r="K16" s="145"/>
      <c r="L16" s="145"/>
      <c r="M16" s="22">
        <f>IF(IAF=0," ",IAF)</f>
        <v>35</v>
      </c>
      <c r="N16" s="150">
        <v>1</v>
      </c>
      <c r="O16" s="151"/>
      <c r="P16" s="34"/>
    </row>
    <row r="17" spans="1:16" ht="20" customHeight="1">
      <c r="A17" s="148"/>
      <c r="B17" s="140"/>
      <c r="C17" s="149"/>
      <c r="D17" s="142"/>
      <c r="E17" s="142"/>
      <c r="F17" s="143"/>
      <c r="G17" s="144"/>
      <c r="H17" s="145"/>
      <c r="I17" s="145"/>
      <c r="J17" s="145"/>
      <c r="K17" s="145"/>
      <c r="L17" s="145"/>
      <c r="M17" s="72"/>
      <c r="N17" s="150"/>
      <c r="O17" s="151"/>
      <c r="P17" s="34"/>
    </row>
    <row r="18" spans="1:16" ht="20" customHeight="1">
      <c r="A18" s="139"/>
      <c r="B18" s="140"/>
      <c r="C18" s="141"/>
      <c r="D18" s="142"/>
      <c r="E18" s="142"/>
      <c r="F18" s="143"/>
      <c r="G18" s="145"/>
      <c r="H18" s="145"/>
      <c r="I18" s="145"/>
      <c r="J18" s="145"/>
      <c r="K18" s="145"/>
      <c r="L18" s="145"/>
      <c r="M18" s="22"/>
      <c r="N18" s="150"/>
      <c r="O18" s="151"/>
      <c r="P18" s="34"/>
    </row>
    <row r="19" spans="1:16" ht="20" customHeight="1">
      <c r="A19" s="139"/>
      <c r="B19" s="140"/>
      <c r="C19" s="141"/>
      <c r="D19" s="142"/>
      <c r="E19" s="142"/>
      <c r="F19" s="143"/>
      <c r="G19" s="145"/>
      <c r="H19" s="145"/>
      <c r="I19" s="145"/>
      <c r="J19" s="145"/>
      <c r="K19" s="145"/>
      <c r="L19" s="145"/>
      <c r="M19" s="22"/>
      <c r="N19" s="150"/>
      <c r="O19" s="151"/>
      <c r="P19" s="34"/>
    </row>
    <row r="20" spans="1:16" ht="20" customHeight="1">
      <c r="A20" s="139"/>
      <c r="B20" s="140"/>
      <c r="C20" s="141"/>
      <c r="D20" s="142"/>
      <c r="E20" s="142"/>
      <c r="F20" s="143"/>
      <c r="G20" s="145"/>
      <c r="H20" s="145"/>
      <c r="I20" s="145"/>
      <c r="J20" s="145"/>
      <c r="K20" s="145"/>
      <c r="L20" s="145"/>
      <c r="M20" s="22"/>
      <c r="N20" s="150"/>
      <c r="O20" s="151"/>
      <c r="P20" s="34"/>
    </row>
    <row r="21" spans="1:16" ht="51" customHeight="1">
      <c r="A21" s="250" t="s">
        <v>58</v>
      </c>
      <c r="B21" s="157"/>
      <c r="C21" s="251" t="s">
        <v>108</v>
      </c>
      <c r="D21" s="252"/>
      <c r="E21" s="252"/>
      <c r="F21" s="252"/>
      <c r="G21" s="252"/>
      <c r="H21" s="252"/>
      <c r="I21" s="252"/>
      <c r="J21" s="252"/>
      <c r="K21" s="252"/>
      <c r="L21" s="252"/>
      <c r="M21" s="252"/>
      <c r="N21" s="252"/>
      <c r="O21" s="253"/>
      <c r="P21" s="34"/>
    </row>
    <row r="22" spans="1:16" ht="99.5" customHeight="1">
      <c r="A22" s="250" t="s">
        <v>109</v>
      </c>
      <c r="B22" s="157"/>
      <c r="C22" s="426" t="s">
        <v>304</v>
      </c>
      <c r="D22" s="252"/>
      <c r="E22" s="252"/>
      <c r="F22" s="252"/>
      <c r="G22" s="252"/>
      <c r="H22" s="252"/>
      <c r="I22" s="252"/>
      <c r="J22" s="252"/>
      <c r="K22" s="252"/>
      <c r="L22" s="252"/>
      <c r="M22" s="252"/>
      <c r="N22" s="252"/>
      <c r="O22" s="253"/>
      <c r="P22" s="34"/>
    </row>
    <row r="23" spans="1:16" ht="58.5" customHeight="1">
      <c r="A23" s="250" t="s">
        <v>110</v>
      </c>
      <c r="B23" s="157"/>
      <c r="C23" s="251" t="s">
        <v>111</v>
      </c>
      <c r="D23" s="252"/>
      <c r="E23" s="252"/>
      <c r="F23" s="252"/>
      <c r="G23" s="252"/>
      <c r="H23" s="252"/>
      <c r="I23" s="252"/>
      <c r="J23" s="252"/>
      <c r="K23" s="252"/>
      <c r="L23" s="252"/>
      <c r="M23" s="252"/>
      <c r="N23" s="252"/>
      <c r="O23" s="253"/>
      <c r="P23" s="34"/>
    </row>
    <row r="24" spans="1:16" ht="28.25" customHeight="1">
      <c r="A24" s="254" t="s">
        <v>112</v>
      </c>
      <c r="B24" s="158"/>
      <c r="C24" s="158"/>
      <c r="D24" s="158"/>
      <c r="E24" s="158"/>
      <c r="F24" s="158"/>
      <c r="G24" s="158"/>
      <c r="H24" s="158"/>
      <c r="I24" s="158"/>
      <c r="J24" s="158"/>
      <c r="K24" s="158"/>
      <c r="L24" s="158"/>
      <c r="M24" s="159"/>
      <c r="N24" s="255" t="s">
        <v>29</v>
      </c>
      <c r="O24" s="256"/>
      <c r="P24" s="34"/>
    </row>
    <row r="25" spans="1:16" ht="28.25" customHeight="1">
      <c r="A25" s="254" t="s">
        <v>113</v>
      </c>
      <c r="B25" s="158"/>
      <c r="C25" s="158"/>
      <c r="D25" s="158"/>
      <c r="E25" s="158"/>
      <c r="F25" s="158"/>
      <c r="G25" s="158"/>
      <c r="H25" s="158"/>
      <c r="I25" s="158"/>
      <c r="J25" s="158"/>
      <c r="K25" s="158"/>
      <c r="L25" s="158"/>
      <c r="M25" s="159"/>
      <c r="N25" s="255" t="s">
        <v>29</v>
      </c>
      <c r="O25" s="256"/>
      <c r="P25" s="34"/>
    </row>
    <row r="26" spans="1:16" ht="28.25" customHeight="1">
      <c r="A26" s="254" t="s">
        <v>114</v>
      </c>
      <c r="B26" s="158"/>
      <c r="C26" s="158"/>
      <c r="D26" s="158"/>
      <c r="E26" s="158"/>
      <c r="F26" s="158"/>
      <c r="G26" s="158"/>
      <c r="H26" s="158"/>
      <c r="I26" s="158"/>
      <c r="J26" s="158"/>
      <c r="K26" s="158"/>
      <c r="L26" s="158"/>
      <c r="M26" s="159"/>
      <c r="N26" s="255" t="s">
        <v>29</v>
      </c>
      <c r="O26" s="256"/>
      <c r="P26" s="34"/>
    </row>
    <row r="27" spans="1:16" ht="131.5" customHeight="1">
      <c r="A27" s="250" t="s">
        <v>115</v>
      </c>
      <c r="B27" s="156"/>
      <c r="C27" s="156"/>
      <c r="D27" s="156"/>
      <c r="E27" s="156"/>
      <c r="F27" s="156"/>
      <c r="G27" s="156"/>
      <c r="H27" s="156"/>
      <c r="I27" s="156"/>
      <c r="J27" s="156"/>
      <c r="K27" s="156"/>
      <c r="L27" s="156"/>
      <c r="M27" s="156"/>
      <c r="N27" s="156"/>
      <c r="O27" s="157"/>
      <c r="P27" s="34"/>
    </row>
    <row r="28" spans="1:16" ht="36" customHeight="1">
      <c r="A28" s="257" t="s">
        <v>116</v>
      </c>
      <c r="B28" s="258"/>
      <c r="C28" s="259">
        <f>IF(DET=0," ",DET)+335</f>
        <v>46381</v>
      </c>
      <c r="D28" s="259"/>
      <c r="E28" s="258" t="s">
        <v>117</v>
      </c>
      <c r="F28" s="258"/>
      <c r="G28" s="258"/>
      <c r="H28" s="258"/>
      <c r="I28" s="258"/>
      <c r="J28" s="258"/>
      <c r="K28" s="258"/>
      <c r="L28" s="258"/>
      <c r="M28" s="260"/>
      <c r="N28" s="261" t="s">
        <v>118</v>
      </c>
      <c r="O28" s="262"/>
      <c r="P28" s="34"/>
    </row>
    <row r="29" spans="1:16" ht="44" customHeight="1">
      <c r="A29" s="263" t="s">
        <v>119</v>
      </c>
      <c r="B29" s="153"/>
      <c r="C29" s="153"/>
      <c r="D29" s="153"/>
      <c r="E29" s="153"/>
      <c r="F29" s="153"/>
      <c r="G29" s="153"/>
      <c r="H29" s="153"/>
      <c r="I29" s="153"/>
      <c r="J29" s="153"/>
      <c r="K29" s="153"/>
      <c r="L29" s="153"/>
      <c r="M29" s="153"/>
      <c r="N29" s="153"/>
      <c r="O29" s="154"/>
      <c r="P29" s="34"/>
    </row>
    <row r="30" spans="1:16" ht="33.5" customHeight="1">
      <c r="A30" s="264" t="s">
        <v>120</v>
      </c>
      <c r="B30" s="265"/>
      <c r="C30" s="265"/>
      <c r="D30" s="265"/>
      <c r="E30" s="265"/>
      <c r="F30" s="265"/>
      <c r="G30" s="265"/>
      <c r="H30" s="265"/>
      <c r="I30" s="265"/>
      <c r="J30" s="265"/>
      <c r="K30" s="265"/>
      <c r="L30" s="265"/>
      <c r="M30" s="265"/>
      <c r="N30" s="265"/>
      <c r="O30" s="36">
        <v>0</v>
      </c>
      <c r="P30" s="34"/>
    </row>
    <row r="31" spans="1:16" ht="25.5" customHeight="1">
      <c r="A31" s="264" t="s">
        <v>121</v>
      </c>
      <c r="B31" s="265"/>
      <c r="C31" s="265"/>
      <c r="D31" s="265"/>
      <c r="E31" s="265"/>
      <c r="F31" s="265"/>
      <c r="G31" s="265"/>
      <c r="H31" s="265"/>
      <c r="I31" s="265"/>
      <c r="J31" s="265"/>
      <c r="K31" s="265"/>
      <c r="L31" s="265"/>
      <c r="M31" s="265"/>
      <c r="N31" s="265"/>
      <c r="O31" s="36">
        <v>0</v>
      </c>
      <c r="P31" s="34"/>
    </row>
    <row r="32" spans="1:16" ht="29" customHeight="1">
      <c r="A32" s="264" t="s">
        <v>122</v>
      </c>
      <c r="B32" s="265"/>
      <c r="C32" s="265"/>
      <c r="D32" s="265"/>
      <c r="E32" s="265"/>
      <c r="F32" s="265"/>
      <c r="G32" s="265"/>
      <c r="H32" s="265"/>
      <c r="I32" s="265"/>
      <c r="J32" s="265"/>
      <c r="K32" s="265"/>
      <c r="L32" s="265"/>
      <c r="M32" s="265"/>
      <c r="N32" s="265"/>
      <c r="O32" s="36">
        <v>1</v>
      </c>
      <c r="P32" s="34"/>
    </row>
    <row r="33" spans="1:16" ht="20" customHeight="1">
      <c r="A33" s="266" t="s">
        <v>123</v>
      </c>
      <c r="B33" s="267"/>
      <c r="C33" s="267"/>
      <c r="D33" s="267"/>
      <c r="E33" s="267"/>
      <c r="F33" s="267"/>
      <c r="G33" s="267"/>
      <c r="H33" s="267"/>
      <c r="I33" s="267"/>
      <c r="J33" s="267"/>
      <c r="K33" s="267"/>
      <c r="L33" s="267"/>
      <c r="M33" s="267"/>
      <c r="N33" s="267"/>
      <c r="O33" s="268"/>
      <c r="P33" s="34"/>
    </row>
    <row r="34" spans="1:16" ht="34" customHeight="1">
      <c r="A34" s="23" t="s">
        <v>93</v>
      </c>
      <c r="B34" s="24" t="s">
        <v>124</v>
      </c>
      <c r="C34" s="269" t="s">
        <v>125</v>
      </c>
      <c r="D34" s="270"/>
      <c r="E34" s="270"/>
      <c r="F34" s="270"/>
      <c r="G34" s="270"/>
      <c r="H34" s="271"/>
      <c r="I34" s="37" t="s">
        <v>126</v>
      </c>
      <c r="J34" s="38"/>
      <c r="K34" s="38"/>
      <c r="L34" s="24" t="s">
        <v>127</v>
      </c>
      <c r="M34" s="272" t="s">
        <v>128</v>
      </c>
      <c r="N34" s="273"/>
      <c r="O34" s="274"/>
      <c r="P34" s="34"/>
    </row>
    <row r="35" spans="1:16" ht="23.5" customHeight="1">
      <c r="A35" s="25"/>
      <c r="B35" s="26"/>
      <c r="C35" s="275"/>
      <c r="D35" s="276"/>
      <c r="E35" s="276"/>
      <c r="F35" s="276"/>
      <c r="G35" s="276"/>
      <c r="H35" s="277"/>
      <c r="I35" s="275"/>
      <c r="J35" s="276"/>
      <c r="K35" s="276"/>
      <c r="L35" s="39"/>
      <c r="M35" s="275"/>
      <c r="N35" s="276"/>
      <c r="O35" s="277"/>
      <c r="P35" s="34"/>
    </row>
    <row r="36" spans="1:16" ht="18.5" customHeight="1">
      <c r="A36" s="25"/>
      <c r="B36" s="26"/>
      <c r="C36" s="278"/>
      <c r="D36" s="279"/>
      <c r="E36" s="279"/>
      <c r="F36" s="279"/>
      <c r="G36" s="279"/>
      <c r="H36" s="280"/>
      <c r="I36" s="40"/>
      <c r="J36" s="41"/>
      <c r="K36" s="41"/>
      <c r="L36" s="26"/>
      <c r="M36" s="275"/>
      <c r="N36" s="276"/>
      <c r="O36" s="277"/>
      <c r="P36" s="34"/>
    </row>
    <row r="37" spans="1:16" ht="18.5" customHeight="1">
      <c r="A37" s="25"/>
      <c r="B37" s="26"/>
      <c r="C37" s="278"/>
      <c r="D37" s="279"/>
      <c r="E37" s="279"/>
      <c r="F37" s="279"/>
      <c r="G37" s="279"/>
      <c r="H37" s="280"/>
      <c r="I37" s="40"/>
      <c r="J37" s="41"/>
      <c r="K37" s="41"/>
      <c r="L37" s="26"/>
      <c r="M37" s="275"/>
      <c r="N37" s="276"/>
      <c r="O37" s="277"/>
      <c r="P37" s="34"/>
    </row>
    <row r="38" spans="1:16" ht="17" customHeight="1">
      <c r="A38" s="25"/>
      <c r="B38" s="26"/>
      <c r="C38" s="278"/>
      <c r="D38" s="279"/>
      <c r="E38" s="279"/>
      <c r="F38" s="279"/>
      <c r="G38" s="279"/>
      <c r="H38" s="280"/>
      <c r="I38" s="40"/>
      <c r="J38" s="41"/>
      <c r="K38" s="41"/>
      <c r="L38" s="26"/>
      <c r="M38" s="275"/>
      <c r="N38" s="276"/>
      <c r="O38" s="277"/>
      <c r="P38" s="34"/>
    </row>
    <row r="39" spans="1:16" ht="28.25" customHeight="1">
      <c r="A39" s="25"/>
      <c r="B39" s="26"/>
      <c r="C39" s="278"/>
      <c r="D39" s="279"/>
      <c r="E39" s="279"/>
      <c r="F39" s="279"/>
      <c r="G39" s="279"/>
      <c r="H39" s="280"/>
      <c r="I39" s="40"/>
      <c r="J39" s="41"/>
      <c r="K39" s="41"/>
      <c r="L39" s="26"/>
      <c r="M39" s="275"/>
      <c r="N39" s="276"/>
      <c r="O39" s="277"/>
      <c r="P39" s="34"/>
    </row>
    <row r="40" spans="1:16" ht="32" customHeight="1">
      <c r="A40" s="27" t="s">
        <v>93</v>
      </c>
      <c r="B40" s="281" t="s">
        <v>129</v>
      </c>
      <c r="C40" s="267"/>
      <c r="D40" s="267"/>
      <c r="E40" s="267"/>
      <c r="F40" s="267"/>
      <c r="G40" s="267"/>
      <c r="H40" s="267"/>
      <c r="I40" s="267"/>
      <c r="J40" s="268"/>
      <c r="K40" s="281" t="s">
        <v>124</v>
      </c>
      <c r="L40" s="268"/>
      <c r="M40" s="281" t="s">
        <v>130</v>
      </c>
      <c r="N40" s="267"/>
      <c r="O40" s="268"/>
      <c r="P40" s="34"/>
    </row>
    <row r="41" spans="1:16" ht="28.25" customHeight="1">
      <c r="A41" s="19"/>
      <c r="B41" s="275" t="str">
        <f>IF(ST2OBS1=0," ",ST2OBS1)</f>
        <v>N/A</v>
      </c>
      <c r="C41" s="276"/>
      <c r="D41" s="276"/>
      <c r="E41" s="276"/>
      <c r="F41" s="276"/>
      <c r="G41" s="276"/>
      <c r="H41" s="276"/>
      <c r="I41" s="276"/>
      <c r="J41" s="277"/>
      <c r="K41" s="275" t="s">
        <v>10</v>
      </c>
      <c r="L41" s="277"/>
      <c r="M41" s="275"/>
      <c r="N41" s="276"/>
      <c r="O41" s="277"/>
      <c r="P41" s="34"/>
    </row>
    <row r="42" spans="1:16" ht="28.25" customHeight="1">
      <c r="A42" s="19"/>
      <c r="B42" s="282"/>
      <c r="C42" s="283"/>
      <c r="D42" s="283"/>
      <c r="E42" s="283"/>
      <c r="F42" s="283"/>
      <c r="G42" s="283"/>
      <c r="H42" s="283"/>
      <c r="I42" s="283"/>
      <c r="J42" s="284"/>
      <c r="K42" s="282"/>
      <c r="L42" s="284"/>
      <c r="M42" s="282"/>
      <c r="N42" s="283"/>
      <c r="O42" s="284"/>
      <c r="P42" s="34"/>
    </row>
    <row r="43" spans="1:16" ht="27" customHeight="1">
      <c r="A43" s="27" t="s">
        <v>93</v>
      </c>
      <c r="B43" s="281" t="s">
        <v>131</v>
      </c>
      <c r="C43" s="267"/>
      <c r="D43" s="267"/>
      <c r="E43" s="267"/>
      <c r="F43" s="267"/>
      <c r="G43" s="267"/>
      <c r="H43" s="267"/>
      <c r="I43" s="267"/>
      <c r="J43" s="268"/>
      <c r="K43" s="281" t="s">
        <v>124</v>
      </c>
      <c r="L43" s="268"/>
      <c r="M43" s="281" t="s">
        <v>130</v>
      </c>
      <c r="N43" s="267"/>
      <c r="O43" s="268"/>
      <c r="P43" s="34"/>
    </row>
    <row r="44" spans="1:16" ht="44" customHeight="1">
      <c r="A44" s="25">
        <v>1</v>
      </c>
      <c r="B44" s="275" t="s">
        <v>132</v>
      </c>
      <c r="C44" s="276"/>
      <c r="D44" s="276"/>
      <c r="E44" s="276"/>
      <c r="F44" s="276"/>
      <c r="G44" s="276"/>
      <c r="H44" s="276"/>
      <c r="I44" s="276"/>
      <c r="J44" s="277"/>
      <c r="K44" s="275" t="s">
        <v>10</v>
      </c>
      <c r="L44" s="277"/>
      <c r="M44" s="275" t="s">
        <v>133</v>
      </c>
      <c r="N44" s="276"/>
      <c r="O44" s="277"/>
      <c r="P44" s="34"/>
    </row>
    <row r="45" spans="1:16" ht="37" customHeight="1">
      <c r="A45" s="25"/>
      <c r="B45" s="275"/>
      <c r="C45" s="276"/>
      <c r="D45" s="276"/>
      <c r="E45" s="276"/>
      <c r="F45" s="276"/>
      <c r="G45" s="276"/>
      <c r="H45" s="276"/>
      <c r="I45" s="276"/>
      <c r="J45" s="277"/>
      <c r="K45" s="275"/>
      <c r="L45" s="277"/>
      <c r="M45" s="275"/>
      <c r="N45" s="276"/>
      <c r="O45" s="277"/>
      <c r="P45" s="42"/>
    </row>
    <row r="46" spans="1:16" ht="41" customHeight="1">
      <c r="A46" s="28" t="s">
        <v>134</v>
      </c>
      <c r="B46" s="29" t="s">
        <v>135</v>
      </c>
      <c r="C46" s="29" t="s">
        <v>136</v>
      </c>
      <c r="D46" s="289" t="s">
        <v>51</v>
      </c>
      <c r="E46" s="290"/>
      <c r="F46" s="290"/>
      <c r="G46" s="290"/>
      <c r="H46" s="290"/>
      <c r="I46" s="290"/>
      <c r="J46" s="290"/>
      <c r="K46" s="290"/>
      <c r="L46" s="290"/>
      <c r="M46" s="290"/>
      <c r="N46" s="290"/>
      <c r="O46" s="290"/>
      <c r="P46" s="43"/>
    </row>
    <row r="47" spans="1:16" ht="251" customHeight="1">
      <c r="A47" s="30" t="s">
        <v>137</v>
      </c>
      <c r="B47" s="31" t="s">
        <v>138</v>
      </c>
      <c r="C47" s="32" t="s">
        <v>139</v>
      </c>
      <c r="D47" s="427" t="s">
        <v>325</v>
      </c>
      <c r="E47" s="286"/>
      <c r="F47" s="286"/>
      <c r="G47" s="286"/>
      <c r="H47" s="286"/>
      <c r="I47" s="286"/>
      <c r="J47" s="286"/>
      <c r="K47" s="286"/>
      <c r="L47" s="286"/>
      <c r="M47" s="286"/>
      <c r="N47" s="286"/>
      <c r="O47" s="286"/>
      <c r="P47" s="287"/>
    </row>
    <row r="48" spans="1:16" ht="237" customHeight="1">
      <c r="A48" s="30" t="s">
        <v>140</v>
      </c>
      <c r="B48" s="31" t="s">
        <v>141</v>
      </c>
      <c r="C48" s="32" t="s">
        <v>139</v>
      </c>
      <c r="D48" s="285" t="s">
        <v>305</v>
      </c>
      <c r="E48" s="286"/>
      <c r="F48" s="286"/>
      <c r="G48" s="286"/>
      <c r="H48" s="286"/>
      <c r="I48" s="286"/>
      <c r="J48" s="286"/>
      <c r="K48" s="286"/>
      <c r="L48" s="286"/>
      <c r="M48" s="286"/>
      <c r="N48" s="286"/>
      <c r="O48" s="286"/>
      <c r="P48" s="287"/>
    </row>
    <row r="49" spans="1:16" ht="237" customHeight="1">
      <c r="A49" s="30" t="s">
        <v>142</v>
      </c>
      <c r="B49" s="31" t="s">
        <v>143</v>
      </c>
      <c r="C49" s="32" t="s">
        <v>144</v>
      </c>
      <c r="D49" s="285" t="s">
        <v>306</v>
      </c>
      <c r="E49" s="286"/>
      <c r="F49" s="286"/>
      <c r="G49" s="286"/>
      <c r="H49" s="286"/>
      <c r="I49" s="286"/>
      <c r="J49" s="286"/>
      <c r="K49" s="286"/>
      <c r="L49" s="286"/>
      <c r="M49" s="286"/>
      <c r="N49" s="286"/>
      <c r="O49" s="286"/>
      <c r="P49" s="287"/>
    </row>
    <row r="50" spans="1:16" ht="237" customHeight="1">
      <c r="A50" s="30" t="s">
        <v>145</v>
      </c>
      <c r="B50" s="31" t="s">
        <v>146</v>
      </c>
      <c r="C50" s="32" t="s">
        <v>139</v>
      </c>
      <c r="D50" s="427" t="s">
        <v>326</v>
      </c>
      <c r="E50" s="286"/>
      <c r="F50" s="286"/>
      <c r="G50" s="286"/>
      <c r="H50" s="286"/>
      <c r="I50" s="286"/>
      <c r="J50" s="286"/>
      <c r="K50" s="286"/>
      <c r="L50" s="286"/>
      <c r="M50" s="286"/>
      <c r="N50" s="286"/>
      <c r="O50" s="286"/>
      <c r="P50" s="287"/>
    </row>
    <row r="51" spans="1:16" ht="237" customHeight="1">
      <c r="A51" s="30" t="s">
        <v>147</v>
      </c>
      <c r="B51" s="31" t="s">
        <v>148</v>
      </c>
      <c r="C51" s="32" t="s">
        <v>139</v>
      </c>
      <c r="D51" s="285" t="s">
        <v>307</v>
      </c>
      <c r="E51" s="286"/>
      <c r="F51" s="286"/>
      <c r="G51" s="286"/>
      <c r="H51" s="286"/>
      <c r="I51" s="286"/>
      <c r="J51" s="286"/>
      <c r="K51" s="286"/>
      <c r="L51" s="286"/>
      <c r="M51" s="286"/>
      <c r="N51" s="286"/>
      <c r="O51" s="286"/>
      <c r="P51" s="287"/>
    </row>
    <row r="52" spans="1:16" ht="237" customHeight="1">
      <c r="A52" s="30" t="s">
        <v>149</v>
      </c>
      <c r="B52" s="31" t="s">
        <v>150</v>
      </c>
      <c r="C52" s="32" t="s">
        <v>139</v>
      </c>
      <c r="D52" s="285" t="s">
        <v>308</v>
      </c>
      <c r="E52" s="286"/>
      <c r="F52" s="286"/>
      <c r="G52" s="286"/>
      <c r="H52" s="286"/>
      <c r="I52" s="286"/>
      <c r="J52" s="286"/>
      <c r="K52" s="286"/>
      <c r="L52" s="286"/>
      <c r="M52" s="286"/>
      <c r="N52" s="286"/>
      <c r="O52" s="286"/>
      <c r="P52" s="287"/>
    </row>
    <row r="53" spans="1:16" ht="237" customHeight="1">
      <c r="A53" s="30" t="s">
        <v>151</v>
      </c>
      <c r="B53" s="31" t="s">
        <v>152</v>
      </c>
      <c r="C53" s="32" t="s">
        <v>139</v>
      </c>
      <c r="D53" s="285" t="s">
        <v>309</v>
      </c>
      <c r="E53" s="286"/>
      <c r="F53" s="286"/>
      <c r="G53" s="286"/>
      <c r="H53" s="286"/>
      <c r="I53" s="286"/>
      <c r="J53" s="286"/>
      <c r="K53" s="286"/>
      <c r="L53" s="286"/>
      <c r="M53" s="286"/>
      <c r="N53" s="286"/>
      <c r="O53" s="286"/>
      <c r="P53" s="287"/>
    </row>
    <row r="54" spans="1:16" ht="237" customHeight="1">
      <c r="A54" s="30" t="s">
        <v>153</v>
      </c>
      <c r="B54" s="31" t="s">
        <v>154</v>
      </c>
      <c r="C54" s="32" t="s">
        <v>139</v>
      </c>
      <c r="D54" s="288" t="s">
        <v>310</v>
      </c>
      <c r="E54" s="286"/>
      <c r="F54" s="286"/>
      <c r="G54" s="286"/>
      <c r="H54" s="286"/>
      <c r="I54" s="286"/>
      <c r="J54" s="286"/>
      <c r="K54" s="286"/>
      <c r="L54" s="286"/>
      <c r="M54" s="286"/>
      <c r="N54" s="286"/>
      <c r="O54" s="286"/>
      <c r="P54" s="287"/>
    </row>
    <row r="55" spans="1:16" ht="237" customHeight="1">
      <c r="A55" s="30" t="s">
        <v>155</v>
      </c>
      <c r="B55" s="31" t="s">
        <v>156</v>
      </c>
      <c r="C55" s="32" t="s">
        <v>139</v>
      </c>
      <c r="D55" s="285" t="s">
        <v>311</v>
      </c>
      <c r="E55" s="286"/>
      <c r="F55" s="286"/>
      <c r="G55" s="286"/>
      <c r="H55" s="286"/>
      <c r="I55" s="286"/>
      <c r="J55" s="286"/>
      <c r="K55" s="286"/>
      <c r="L55" s="286"/>
      <c r="M55" s="286"/>
      <c r="N55" s="286"/>
      <c r="O55" s="286"/>
      <c r="P55" s="287"/>
    </row>
    <row r="56" spans="1:16" ht="320.5" customHeight="1">
      <c r="A56" s="30" t="s">
        <v>157</v>
      </c>
      <c r="B56" s="31" t="s">
        <v>158</v>
      </c>
      <c r="C56" s="32" t="s">
        <v>139</v>
      </c>
      <c r="D56" s="285" t="s">
        <v>312</v>
      </c>
      <c r="E56" s="286"/>
      <c r="F56" s="286"/>
      <c r="G56" s="286"/>
      <c r="H56" s="286"/>
      <c r="I56" s="286"/>
      <c r="J56" s="286"/>
      <c r="K56" s="286"/>
      <c r="L56" s="286"/>
      <c r="M56" s="286"/>
      <c r="N56" s="286"/>
      <c r="O56" s="286"/>
      <c r="P56" s="287"/>
    </row>
    <row r="57" spans="1:16" ht="237" customHeight="1">
      <c r="A57" s="30" t="s">
        <v>159</v>
      </c>
      <c r="B57" s="31" t="s">
        <v>160</v>
      </c>
      <c r="C57" s="32" t="s">
        <v>139</v>
      </c>
      <c r="D57" s="285" t="s">
        <v>313</v>
      </c>
      <c r="E57" s="286"/>
      <c r="F57" s="286"/>
      <c r="G57" s="286"/>
      <c r="H57" s="286"/>
      <c r="I57" s="286"/>
      <c r="J57" s="286"/>
      <c r="K57" s="286"/>
      <c r="L57" s="286"/>
      <c r="M57" s="286"/>
      <c r="N57" s="286"/>
      <c r="O57" s="286"/>
      <c r="P57" s="287"/>
    </row>
    <row r="58" spans="1:16" ht="237" customHeight="1">
      <c r="A58" s="30" t="s">
        <v>161</v>
      </c>
      <c r="B58" s="31" t="s">
        <v>162</v>
      </c>
      <c r="C58" s="32" t="s">
        <v>139</v>
      </c>
      <c r="D58" s="285" t="s">
        <v>314</v>
      </c>
      <c r="E58" s="286"/>
      <c r="F58" s="286"/>
      <c r="G58" s="286"/>
      <c r="H58" s="286"/>
      <c r="I58" s="286"/>
      <c r="J58" s="286"/>
      <c r="K58" s="286"/>
      <c r="L58" s="286"/>
      <c r="M58" s="286"/>
      <c r="N58" s="286"/>
      <c r="O58" s="286"/>
      <c r="P58" s="287"/>
    </row>
    <row r="59" spans="1:16" ht="237" customHeight="1">
      <c r="A59" s="30" t="s">
        <v>163</v>
      </c>
      <c r="B59" s="31" t="s">
        <v>164</v>
      </c>
      <c r="C59" s="32" t="s">
        <v>139</v>
      </c>
      <c r="D59" s="285" t="s">
        <v>315</v>
      </c>
      <c r="E59" s="286"/>
      <c r="F59" s="286"/>
      <c r="G59" s="286"/>
      <c r="H59" s="286"/>
      <c r="I59" s="286"/>
      <c r="J59" s="286"/>
      <c r="K59" s="286"/>
      <c r="L59" s="286"/>
      <c r="M59" s="286"/>
      <c r="N59" s="286"/>
      <c r="O59" s="286"/>
      <c r="P59" s="287"/>
    </row>
    <row r="60" spans="1:16" ht="237" customHeight="1">
      <c r="A60" s="30" t="s">
        <v>165</v>
      </c>
      <c r="B60" s="31" t="s">
        <v>166</v>
      </c>
      <c r="C60" s="32" t="s">
        <v>139</v>
      </c>
      <c r="D60" s="285" t="s">
        <v>316</v>
      </c>
      <c r="E60" s="286"/>
      <c r="F60" s="286"/>
      <c r="G60" s="286"/>
      <c r="H60" s="286"/>
      <c r="I60" s="286"/>
      <c r="J60" s="286"/>
      <c r="K60" s="286"/>
      <c r="L60" s="286"/>
      <c r="M60" s="286"/>
      <c r="N60" s="286"/>
      <c r="O60" s="286"/>
      <c r="P60" s="287"/>
    </row>
    <row r="61" spans="1:16" ht="237" customHeight="1">
      <c r="A61" s="30" t="s">
        <v>167</v>
      </c>
      <c r="B61" s="31" t="s">
        <v>168</v>
      </c>
      <c r="C61" s="32" t="s">
        <v>139</v>
      </c>
      <c r="D61" s="285" t="s">
        <v>317</v>
      </c>
      <c r="E61" s="286"/>
      <c r="F61" s="286"/>
      <c r="G61" s="286"/>
      <c r="H61" s="286"/>
      <c r="I61" s="286"/>
      <c r="J61" s="286"/>
      <c r="K61" s="286"/>
      <c r="L61" s="286"/>
      <c r="M61" s="286"/>
      <c r="N61" s="286"/>
      <c r="O61" s="286"/>
      <c r="P61" s="287"/>
    </row>
    <row r="62" spans="1:16" ht="237" customHeight="1">
      <c r="A62" s="30" t="s">
        <v>169</v>
      </c>
      <c r="B62" s="31" t="s">
        <v>170</v>
      </c>
      <c r="C62" s="32" t="s">
        <v>139</v>
      </c>
      <c r="D62" s="285" t="s">
        <v>318</v>
      </c>
      <c r="E62" s="286"/>
      <c r="F62" s="286"/>
      <c r="G62" s="286"/>
      <c r="H62" s="286"/>
      <c r="I62" s="286"/>
      <c r="J62" s="286"/>
      <c r="K62" s="286"/>
      <c r="L62" s="286"/>
      <c r="M62" s="286"/>
      <c r="N62" s="286"/>
      <c r="O62" s="286"/>
      <c r="P62" s="287"/>
    </row>
    <row r="63" spans="1:16" ht="237" customHeight="1">
      <c r="A63" s="30" t="s">
        <v>171</v>
      </c>
      <c r="B63" s="31" t="s">
        <v>172</v>
      </c>
      <c r="C63" s="32" t="s">
        <v>139</v>
      </c>
      <c r="D63" s="285" t="s">
        <v>319</v>
      </c>
      <c r="E63" s="286"/>
      <c r="F63" s="286"/>
      <c r="G63" s="286"/>
      <c r="H63" s="286"/>
      <c r="I63" s="286"/>
      <c r="J63" s="286"/>
      <c r="K63" s="286"/>
      <c r="L63" s="286"/>
      <c r="M63" s="286"/>
      <c r="N63" s="286"/>
      <c r="O63" s="286"/>
      <c r="P63" s="287"/>
    </row>
    <row r="64" spans="1:16" ht="237" customHeight="1">
      <c r="A64" s="30" t="s">
        <v>173</v>
      </c>
      <c r="B64" s="31" t="s">
        <v>174</v>
      </c>
      <c r="C64" s="32" t="s">
        <v>139</v>
      </c>
      <c r="D64" s="285" t="s">
        <v>320</v>
      </c>
      <c r="E64" s="286"/>
      <c r="F64" s="286"/>
      <c r="G64" s="286"/>
      <c r="H64" s="286"/>
      <c r="I64" s="286"/>
      <c r="J64" s="286"/>
      <c r="K64" s="286"/>
      <c r="L64" s="286"/>
      <c r="M64" s="286"/>
      <c r="N64" s="286"/>
      <c r="O64" s="286"/>
      <c r="P64" s="287"/>
    </row>
    <row r="65" spans="1:27" ht="237" customHeight="1">
      <c r="A65" s="30" t="s">
        <v>175</v>
      </c>
      <c r="B65" s="31" t="s">
        <v>176</v>
      </c>
      <c r="C65" s="32" t="s">
        <v>139</v>
      </c>
      <c r="D65" s="285" t="s">
        <v>321</v>
      </c>
      <c r="E65" s="286"/>
      <c r="F65" s="286"/>
      <c r="G65" s="286"/>
      <c r="H65" s="286"/>
      <c r="I65" s="286"/>
      <c r="J65" s="286"/>
      <c r="K65" s="286"/>
      <c r="L65" s="286"/>
      <c r="M65" s="286"/>
      <c r="N65" s="286"/>
      <c r="O65" s="286"/>
      <c r="P65" s="287"/>
    </row>
    <row r="66" spans="1:27" ht="237" customHeight="1">
      <c r="A66" s="30" t="s">
        <v>177</v>
      </c>
      <c r="B66" s="31" t="s">
        <v>178</v>
      </c>
      <c r="C66" s="32" t="s">
        <v>139</v>
      </c>
      <c r="D66" s="307" t="s">
        <v>322</v>
      </c>
      <c r="E66" s="286"/>
      <c r="F66" s="286"/>
      <c r="G66" s="286"/>
      <c r="H66" s="286"/>
      <c r="I66" s="286"/>
      <c r="J66" s="286"/>
      <c r="K66" s="286"/>
      <c r="L66" s="286"/>
      <c r="M66" s="286"/>
      <c r="N66" s="286"/>
      <c r="O66" s="286"/>
      <c r="P66" s="287"/>
    </row>
    <row r="67" spans="1:27" ht="237" customHeight="1">
      <c r="A67" s="30" t="s">
        <v>179</v>
      </c>
      <c r="B67" s="31" t="s">
        <v>180</v>
      </c>
      <c r="C67" s="32" t="s">
        <v>139</v>
      </c>
      <c r="D67" s="297" t="s">
        <v>323</v>
      </c>
      <c r="E67" s="286"/>
      <c r="F67" s="286"/>
      <c r="G67" s="286"/>
      <c r="H67" s="286"/>
      <c r="I67" s="286"/>
      <c r="J67" s="286"/>
      <c r="K67" s="286"/>
      <c r="L67" s="286"/>
      <c r="M67" s="286"/>
      <c r="N67" s="286"/>
      <c r="O67" s="286"/>
      <c r="P67" s="287"/>
    </row>
    <row r="68" spans="1:27" ht="237" customHeight="1">
      <c r="A68" s="30" t="s">
        <v>181</v>
      </c>
      <c r="B68" s="31" t="s">
        <v>182</v>
      </c>
      <c r="C68" s="32" t="s">
        <v>139</v>
      </c>
      <c r="D68" s="427" t="s">
        <v>327</v>
      </c>
      <c r="E68" s="286"/>
      <c r="F68" s="286"/>
      <c r="G68" s="286"/>
      <c r="H68" s="286"/>
      <c r="I68" s="286"/>
      <c r="J68" s="286"/>
      <c r="K68" s="286"/>
      <c r="L68" s="286"/>
      <c r="M68" s="286"/>
      <c r="N68" s="286"/>
      <c r="O68" s="286"/>
      <c r="P68" s="287"/>
    </row>
    <row r="69" spans="1:27" ht="237" customHeight="1">
      <c r="A69" s="30" t="s">
        <v>183</v>
      </c>
      <c r="B69" s="31" t="s">
        <v>184</v>
      </c>
      <c r="C69" s="32" t="s">
        <v>139</v>
      </c>
      <c r="D69" s="285" t="s">
        <v>324</v>
      </c>
      <c r="E69" s="286"/>
      <c r="F69" s="286"/>
      <c r="G69" s="286"/>
      <c r="H69" s="286"/>
      <c r="I69" s="286"/>
      <c r="J69" s="286"/>
      <c r="K69" s="286"/>
      <c r="L69" s="286"/>
      <c r="M69" s="286"/>
      <c r="N69" s="286"/>
      <c r="O69" s="286"/>
      <c r="P69" s="287"/>
    </row>
    <row r="70" spans="1:27" ht="28" customHeight="1">
      <c r="A70" s="298" t="s">
        <v>185</v>
      </c>
      <c r="B70" s="299"/>
      <c r="C70" s="299"/>
      <c r="D70" s="299"/>
      <c r="E70" s="299"/>
      <c r="F70" s="299"/>
      <c r="G70" s="299"/>
      <c r="H70" s="299"/>
      <c r="I70" s="299"/>
      <c r="J70" s="299"/>
      <c r="K70" s="299"/>
      <c r="L70" s="299"/>
      <c r="M70" s="299"/>
      <c r="N70" s="299"/>
      <c r="O70" s="300"/>
      <c r="P70" s="44"/>
    </row>
    <row r="71" spans="1:27" ht="61" customHeight="1">
      <c r="A71" s="301" t="s">
        <v>186</v>
      </c>
      <c r="B71" s="231"/>
      <c r="C71" s="231"/>
      <c r="D71" s="231"/>
      <c r="E71" s="231"/>
      <c r="F71" s="231"/>
      <c r="G71" s="231"/>
      <c r="H71" s="231"/>
      <c r="I71" s="231"/>
      <c r="J71" s="231"/>
      <c r="K71" s="231"/>
      <c r="L71" s="231"/>
      <c r="M71" s="232"/>
      <c r="N71" s="302" t="s">
        <v>118</v>
      </c>
      <c r="O71" s="303"/>
      <c r="P71" s="45"/>
    </row>
    <row r="72" spans="1:27" ht="116" customHeight="1">
      <c r="A72" s="304" t="s">
        <v>187</v>
      </c>
      <c r="B72" s="283"/>
      <c r="C72" s="283"/>
      <c r="D72" s="283"/>
      <c r="E72" s="283"/>
      <c r="F72" s="283"/>
      <c r="G72" s="283"/>
      <c r="H72" s="283"/>
      <c r="I72" s="283"/>
      <c r="J72" s="283"/>
      <c r="K72" s="283"/>
      <c r="L72" s="283"/>
      <c r="M72" s="283"/>
      <c r="N72" s="302" t="s">
        <v>118</v>
      </c>
      <c r="O72" s="303"/>
      <c r="P72" s="45"/>
    </row>
    <row r="73" spans="1:27" ht="94" customHeight="1">
      <c r="A73" s="301" t="s">
        <v>188</v>
      </c>
      <c r="B73" s="231"/>
      <c r="C73" s="231"/>
      <c r="D73" s="231"/>
      <c r="E73" s="231"/>
      <c r="F73" s="231"/>
      <c r="G73" s="231"/>
      <c r="H73" s="231"/>
      <c r="I73" s="231"/>
      <c r="J73" s="231"/>
      <c r="K73" s="231"/>
      <c r="L73" s="231"/>
      <c r="M73" s="232"/>
      <c r="N73" s="302" t="s">
        <v>29</v>
      </c>
      <c r="O73" s="303"/>
      <c r="P73" s="45"/>
    </row>
    <row r="74" spans="1:27" ht="43" customHeight="1">
      <c r="A74" s="301" t="s">
        <v>189</v>
      </c>
      <c r="B74" s="231"/>
      <c r="C74" s="231"/>
      <c r="D74" s="231"/>
      <c r="E74" s="231"/>
      <c r="F74" s="231"/>
      <c r="G74" s="231"/>
      <c r="H74" s="231"/>
      <c r="I74" s="231"/>
      <c r="J74" s="231"/>
      <c r="K74" s="231"/>
      <c r="L74" s="231"/>
      <c r="M74" s="232"/>
      <c r="N74" s="302"/>
      <c r="O74" s="303"/>
      <c r="P74" s="45"/>
    </row>
    <row r="75" spans="1:27" ht="56" customHeight="1">
      <c r="A75" s="292" t="s">
        <v>190</v>
      </c>
      <c r="B75" s="293"/>
      <c r="C75" s="293"/>
      <c r="D75" s="293"/>
      <c r="E75" s="293"/>
      <c r="F75" s="293"/>
      <c r="G75" s="293"/>
      <c r="H75" s="293"/>
      <c r="I75" s="293"/>
      <c r="J75" s="293"/>
      <c r="K75" s="293"/>
      <c r="L75" s="293"/>
      <c r="M75" s="293"/>
      <c r="N75" s="293"/>
      <c r="O75" s="306"/>
      <c r="P75" s="46"/>
    </row>
    <row r="76" spans="1:27" ht="61" customHeight="1">
      <c r="A76" s="292" t="s">
        <v>191</v>
      </c>
      <c r="B76" s="293"/>
      <c r="C76" s="293"/>
      <c r="D76" s="293"/>
      <c r="E76" s="293"/>
      <c r="F76" s="306"/>
      <c r="G76" s="196" t="s">
        <v>192</v>
      </c>
      <c r="H76" s="196"/>
      <c r="I76" s="196"/>
      <c r="J76" s="196"/>
      <c r="K76" s="196"/>
      <c r="L76" s="196"/>
      <c r="M76" s="196"/>
      <c r="N76" s="196"/>
      <c r="O76" s="196"/>
      <c r="P76" s="46"/>
      <c r="S76" s="291"/>
      <c r="T76" s="291"/>
      <c r="U76" s="291"/>
      <c r="V76" s="291"/>
      <c r="W76" s="291"/>
      <c r="X76" s="291"/>
      <c r="Y76" s="291"/>
      <c r="Z76" s="291"/>
      <c r="AA76" s="291"/>
    </row>
    <row r="77" spans="1:27" ht="42" customHeight="1">
      <c r="A77" s="292" t="s">
        <v>193</v>
      </c>
      <c r="B77" s="293"/>
      <c r="C77" s="293"/>
      <c r="D77" s="293"/>
      <c r="E77" s="293"/>
      <c r="F77" s="293"/>
      <c r="G77" s="294" t="s">
        <v>31</v>
      </c>
      <c r="H77" s="295"/>
      <c r="I77" s="295"/>
      <c r="J77" s="295"/>
      <c r="K77" s="295"/>
      <c r="L77" s="295"/>
      <c r="M77" s="295"/>
      <c r="N77" s="295"/>
      <c r="O77" s="296"/>
      <c r="P77" s="46"/>
    </row>
    <row r="78" spans="1:27" ht="40.5" customHeight="1">
      <c r="A78" s="292" t="s">
        <v>42</v>
      </c>
      <c r="B78" s="293"/>
      <c r="C78" s="293"/>
      <c r="D78" s="293"/>
      <c r="E78" s="293"/>
      <c r="F78" s="293"/>
      <c r="G78" s="196" t="str">
        <f>IF(AN=0," ",AN)</f>
        <v>Meraj Sahab</v>
      </c>
      <c r="H78" s="196"/>
      <c r="I78" s="196"/>
      <c r="J78" s="196"/>
      <c r="K78" s="196"/>
      <c r="L78" s="196"/>
      <c r="M78" s="196"/>
      <c r="N78" s="196"/>
      <c r="O78" s="196"/>
      <c r="P78" s="46"/>
    </row>
    <row r="79" spans="1:27" ht="26.5" customHeight="1">
      <c r="A79" s="305" t="s">
        <v>194</v>
      </c>
      <c r="B79" s="176"/>
      <c r="C79" s="176"/>
      <c r="D79" s="176"/>
      <c r="E79" s="176"/>
      <c r="F79" s="176"/>
      <c r="G79" s="176"/>
      <c r="H79" s="176"/>
      <c r="I79" s="176"/>
      <c r="J79" s="176"/>
      <c r="K79" s="176"/>
      <c r="L79" s="176"/>
      <c r="M79" s="176"/>
      <c r="N79" s="176"/>
      <c r="O79" s="176"/>
    </row>
  </sheetData>
  <mergeCells count="153">
    <mergeCell ref="A79:O79"/>
    <mergeCell ref="M14:M15"/>
    <mergeCell ref="A14:B15"/>
    <mergeCell ref="C14:F15"/>
    <mergeCell ref="G14:I15"/>
    <mergeCell ref="J14:L15"/>
    <mergeCell ref="N14:O15"/>
    <mergeCell ref="A74:M74"/>
    <mergeCell ref="N74:O74"/>
    <mergeCell ref="A75:O75"/>
    <mergeCell ref="A76:F76"/>
    <mergeCell ref="G76:O76"/>
    <mergeCell ref="D58:P58"/>
    <mergeCell ref="D59:P59"/>
    <mergeCell ref="D60:P60"/>
    <mergeCell ref="D61:P61"/>
    <mergeCell ref="D62:P62"/>
    <mergeCell ref="D63:P63"/>
    <mergeCell ref="D64:P64"/>
    <mergeCell ref="D65:P65"/>
    <mergeCell ref="D66:P66"/>
    <mergeCell ref="D49:P49"/>
    <mergeCell ref="D50:P50"/>
    <mergeCell ref="D51:P51"/>
    <mergeCell ref="S76:AA76"/>
    <mergeCell ref="A77:F77"/>
    <mergeCell ref="G77:O77"/>
    <mergeCell ref="A78:F78"/>
    <mergeCell ref="G78:O78"/>
    <mergeCell ref="D67:P67"/>
    <mergeCell ref="D68:P68"/>
    <mergeCell ref="D69:P69"/>
    <mergeCell ref="A70:O70"/>
    <mergeCell ref="A71:M71"/>
    <mergeCell ref="N71:O71"/>
    <mergeCell ref="A72:M72"/>
    <mergeCell ref="N72:O72"/>
    <mergeCell ref="A73:M73"/>
    <mergeCell ref="N73:O73"/>
    <mergeCell ref="D52:P52"/>
    <mergeCell ref="D53:P53"/>
    <mergeCell ref="D54:P54"/>
    <mergeCell ref="D55:P55"/>
    <mergeCell ref="D56:P56"/>
    <mergeCell ref="D57:P57"/>
    <mergeCell ref="B44:J44"/>
    <mergeCell ref="K44:L44"/>
    <mergeCell ref="M44:O44"/>
    <mergeCell ref="B45:J45"/>
    <mergeCell ref="K45:L45"/>
    <mergeCell ref="M45:O45"/>
    <mergeCell ref="D46:O46"/>
    <mergeCell ref="D47:P47"/>
    <mergeCell ref="D48:P48"/>
    <mergeCell ref="B41:J41"/>
    <mergeCell ref="K41:L41"/>
    <mergeCell ref="M41:O41"/>
    <mergeCell ref="B42:J42"/>
    <mergeCell ref="K42:L42"/>
    <mergeCell ref="M42:O42"/>
    <mergeCell ref="B43:J43"/>
    <mergeCell ref="K43:L43"/>
    <mergeCell ref="M43:O43"/>
    <mergeCell ref="C37:H37"/>
    <mergeCell ref="M37:O37"/>
    <mergeCell ref="C38:H38"/>
    <mergeCell ref="M38:O38"/>
    <mergeCell ref="C39:H39"/>
    <mergeCell ref="M39:O39"/>
    <mergeCell ref="B40:J40"/>
    <mergeCell ref="K40:L40"/>
    <mergeCell ref="M40:O40"/>
    <mergeCell ref="A31:N31"/>
    <mergeCell ref="A32:N32"/>
    <mergeCell ref="A33:O33"/>
    <mergeCell ref="C34:H34"/>
    <mergeCell ref="M34:O34"/>
    <mergeCell ref="C35:H35"/>
    <mergeCell ref="I35:K35"/>
    <mergeCell ref="M35:O35"/>
    <mergeCell ref="C36:H36"/>
    <mergeCell ref="M36:O36"/>
    <mergeCell ref="A26:M26"/>
    <mergeCell ref="N26:O26"/>
    <mergeCell ref="A27:O27"/>
    <mergeCell ref="A28:B28"/>
    <mergeCell ref="C28:D28"/>
    <mergeCell ref="E28:M28"/>
    <mergeCell ref="N28:O28"/>
    <mergeCell ref="A29:O29"/>
    <mergeCell ref="A30:N30"/>
    <mergeCell ref="A21:B21"/>
    <mergeCell ref="C21:O21"/>
    <mergeCell ref="A22:B22"/>
    <mergeCell ref="C22:O22"/>
    <mergeCell ref="A23:B23"/>
    <mergeCell ref="C23:O23"/>
    <mergeCell ref="A24:M24"/>
    <mergeCell ref="N24:O24"/>
    <mergeCell ref="A25:M25"/>
    <mergeCell ref="N25:O25"/>
    <mergeCell ref="A19:B19"/>
    <mergeCell ref="C19:F19"/>
    <mergeCell ref="G19:I19"/>
    <mergeCell ref="J19:L19"/>
    <mergeCell ref="N19:O19"/>
    <mergeCell ref="A20:B20"/>
    <mergeCell ref="C20:F20"/>
    <mergeCell ref="G20:I20"/>
    <mergeCell ref="J20:L20"/>
    <mergeCell ref="N20:O20"/>
    <mergeCell ref="A17:B17"/>
    <mergeCell ref="C17:F17"/>
    <mergeCell ref="G17:I17"/>
    <mergeCell ref="J17:L17"/>
    <mergeCell ref="N17:O17"/>
    <mergeCell ref="A18:B18"/>
    <mergeCell ref="C18:F18"/>
    <mergeCell ref="G18:I18"/>
    <mergeCell ref="J18:L18"/>
    <mergeCell ref="N18:O18"/>
    <mergeCell ref="B11:C11"/>
    <mergeCell ref="D11:O11"/>
    <mergeCell ref="B12:C12"/>
    <mergeCell ref="D12:E12"/>
    <mergeCell ref="G12:I12"/>
    <mergeCell ref="A13:O13"/>
    <mergeCell ref="A16:B16"/>
    <mergeCell ref="C16:F16"/>
    <mergeCell ref="G16:I16"/>
    <mergeCell ref="J16:L16"/>
    <mergeCell ref="N16:O16"/>
    <mergeCell ref="B7:C7"/>
    <mergeCell ref="D7:H7"/>
    <mergeCell ref="I7:K7"/>
    <mergeCell ref="L7:O7"/>
    <mergeCell ref="B8:C8"/>
    <mergeCell ref="D8:O8"/>
    <mergeCell ref="B9:C9"/>
    <mergeCell ref="D9:O9"/>
    <mergeCell ref="B10:C10"/>
    <mergeCell ref="D10:O10"/>
    <mergeCell ref="A1:O1"/>
    <mergeCell ref="A2:O2"/>
    <mergeCell ref="A3:O3"/>
    <mergeCell ref="B4:C4"/>
    <mergeCell ref="D4:O4"/>
    <mergeCell ref="B5:C5"/>
    <mergeCell ref="D5:O5"/>
    <mergeCell ref="B6:C6"/>
    <mergeCell ref="D6:H6"/>
    <mergeCell ref="I6:K6"/>
    <mergeCell ref="L6:O6"/>
  </mergeCells>
  <dataValidations count="2">
    <dataValidation type="list" allowBlank="1" showInputMessage="1" showErrorMessage="1" sqref="S76:AA76 N24:O26 N71:O74 N28:O32" xr:uid="{00000000-0002-0000-0300-000000000000}">
      <formula1>#REF!</formula1>
    </dataValidation>
    <dataValidation type="list" allowBlank="1" showInputMessage="1" showErrorMessage="1" sqref="G77:O77" xr:uid="{00000000-0002-0000-0300-000001000000}">
      <formula1>"ISO 9001:2015, ISO 14001:2015, ISO 45001:2018, ISO 27001:2022, ISO 22000:2018, N/A"</formula1>
    </dataValidation>
  </dataValidations>
  <hyperlinks>
    <hyperlink ref="G16" r:id="rId1" tooltip="mailto:SUHAIL@QCCERT.IN" display="=IF('F11&amp;F12-Sur1-Plan&amp;Schedule'!G16=0,,'F11&amp;F12-Sur1-Plan&amp;Schedule'!G16)" xr:uid="{00000000-0004-0000-0300-000000000000}"/>
  </hyperlinks>
  <pageMargins left="0.7" right="0.7" top="0.75" bottom="0.75" header="0.3" footer="0.3"/>
  <pageSetup scale="48" fitToHeight="0"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93"/>
  <sheetViews>
    <sheetView workbookViewId="0">
      <selection activeCell="G14" sqref="G14:J14"/>
    </sheetView>
  </sheetViews>
  <sheetFormatPr defaultColWidth="8.7265625" defaultRowHeight="14.5"/>
  <cols>
    <col min="1" max="1" width="8.7265625" style="7"/>
    <col min="2" max="2" width="19.81640625" style="7" customWidth="1"/>
    <col min="3" max="3" width="4" style="7" customWidth="1"/>
    <col min="4" max="4" width="6.81640625" style="7" hidden="1" customWidth="1"/>
    <col min="5" max="5" width="8.7265625" style="7" hidden="1" customWidth="1"/>
    <col min="6" max="9" width="8.7265625" style="7"/>
    <col min="10" max="10" width="38" style="7" customWidth="1"/>
    <col min="11" max="13" width="8.7265625" style="1"/>
    <col min="14" max="14" width="19.26953125" style="1" customWidth="1"/>
    <col min="15" max="26" width="8.7265625" style="1"/>
    <col min="27" max="27" width="27.453125" style="1" customWidth="1"/>
    <col min="28" max="16384" width="8.7265625" style="1"/>
  </cols>
  <sheetData>
    <row r="1" spans="1:27" ht="14.5" customHeight="1">
      <c r="A1" s="338" t="s">
        <v>195</v>
      </c>
      <c r="B1" s="339"/>
      <c r="C1" s="339"/>
      <c r="D1" s="339"/>
      <c r="E1" s="339"/>
      <c r="F1" s="339"/>
      <c r="G1" s="339"/>
      <c r="H1" s="339"/>
      <c r="I1" s="339"/>
      <c r="J1" s="340"/>
      <c r="AA1" s="14" t="s">
        <v>196</v>
      </c>
    </row>
    <row r="2" spans="1:27">
      <c r="A2" s="341"/>
      <c r="B2" s="342"/>
      <c r="C2" s="342"/>
      <c r="D2" s="342"/>
      <c r="E2" s="342"/>
      <c r="F2" s="342"/>
      <c r="G2" s="342"/>
      <c r="H2" s="342"/>
      <c r="I2" s="342"/>
      <c r="J2" s="343"/>
      <c r="AA2" s="14" t="s">
        <v>197</v>
      </c>
    </row>
    <row r="3" spans="1:27">
      <c r="A3" s="341"/>
      <c r="B3" s="342"/>
      <c r="C3" s="342"/>
      <c r="D3" s="342"/>
      <c r="E3" s="342"/>
      <c r="F3" s="342"/>
      <c r="G3" s="342"/>
      <c r="H3" s="342"/>
      <c r="I3" s="342"/>
      <c r="J3" s="343"/>
      <c r="AA3" s="14" t="s">
        <v>198</v>
      </c>
    </row>
    <row r="4" spans="1:27">
      <c r="A4" s="344"/>
      <c r="B4" s="345"/>
      <c r="C4" s="345"/>
      <c r="D4" s="345"/>
      <c r="E4" s="345"/>
      <c r="F4" s="345"/>
      <c r="G4" s="345"/>
      <c r="H4" s="345"/>
      <c r="I4" s="345"/>
      <c r="J4" s="346"/>
      <c r="AA4" s="14" t="s">
        <v>199</v>
      </c>
    </row>
    <row r="5" spans="1:27" ht="20.5" customHeight="1">
      <c r="A5" s="308" t="s">
        <v>48</v>
      </c>
      <c r="B5" s="201"/>
      <c r="C5" s="201"/>
      <c r="D5" s="201"/>
      <c r="E5" s="202"/>
      <c r="F5" s="308" t="str">
        <f>IF(NM=0," ",NM)</f>
        <v xml:space="preserve">DLMM ENTERPRISE </v>
      </c>
      <c r="G5" s="201"/>
      <c r="H5" s="201"/>
      <c r="I5" s="201"/>
      <c r="J5" s="202"/>
      <c r="AA5" s="14" t="s">
        <v>200</v>
      </c>
    </row>
    <row r="6" spans="1:27" ht="31.5" customHeight="1">
      <c r="A6" s="308" t="s">
        <v>201</v>
      </c>
      <c r="B6" s="201"/>
      <c r="C6" s="201"/>
      <c r="D6" s="8"/>
      <c r="E6" s="9"/>
      <c r="F6" s="197" t="str">
        <f>IF(AD=0," ",AD)</f>
        <v>Ground Floor, Plot No. 205, Sector No. 7, Gandhidham, Kachchh, Gujarat - 370201, India</v>
      </c>
      <c r="G6" s="198"/>
      <c r="H6" s="198"/>
      <c r="I6" s="198"/>
      <c r="J6" s="199"/>
      <c r="AA6" s="14"/>
    </row>
    <row r="7" spans="1:27">
      <c r="A7" s="308" t="s">
        <v>91</v>
      </c>
      <c r="B7" s="201"/>
      <c r="C7" s="201"/>
      <c r="D7" s="201"/>
      <c r="E7" s="202"/>
      <c r="F7" s="200" t="str">
        <f>IF(STANDARD=0," ",STANDARD)</f>
        <v>ISO 9001:2015</v>
      </c>
      <c r="G7" s="233"/>
      <c r="H7" s="233"/>
      <c r="I7" s="233"/>
      <c r="J7" s="229"/>
    </row>
    <row r="8" spans="1:27">
      <c r="A8" s="308" t="s">
        <v>202</v>
      </c>
      <c r="B8" s="201"/>
      <c r="C8" s="201"/>
      <c r="D8" s="201"/>
      <c r="E8" s="202"/>
      <c r="F8" s="308" t="s">
        <v>197</v>
      </c>
      <c r="G8" s="201"/>
      <c r="H8" s="201"/>
      <c r="I8" s="201"/>
      <c r="J8" s="202"/>
    </row>
    <row r="9" spans="1:27">
      <c r="A9" s="309" t="s">
        <v>203</v>
      </c>
      <c r="B9" s="309"/>
      <c r="C9" s="309"/>
      <c r="D9" s="309"/>
      <c r="E9" s="309"/>
      <c r="F9" s="309"/>
      <c r="G9" s="309" t="s">
        <v>204</v>
      </c>
      <c r="H9" s="309"/>
      <c r="I9" s="309"/>
      <c r="J9" s="309"/>
    </row>
    <row r="10" spans="1:27" ht="23.5" customHeight="1">
      <c r="A10" s="310" t="s">
        <v>205</v>
      </c>
      <c r="B10" s="311"/>
      <c r="C10" s="311"/>
      <c r="D10" s="311"/>
      <c r="E10" s="311"/>
      <c r="F10" s="311"/>
      <c r="G10" s="311"/>
      <c r="H10" s="311"/>
      <c r="I10" s="311"/>
      <c r="J10" s="312"/>
    </row>
    <row r="11" spans="1:27" ht="15.65" customHeight="1">
      <c r="A11" s="313" t="s">
        <v>206</v>
      </c>
      <c r="B11" s="314"/>
      <c r="C11" s="314"/>
      <c r="D11" s="314"/>
      <c r="E11" s="314"/>
      <c r="F11" s="314"/>
      <c r="G11" s="314"/>
      <c r="H11" s="314"/>
      <c r="I11" s="314"/>
      <c r="J11" s="315"/>
    </row>
    <row r="12" spans="1:27" ht="15.65" customHeight="1">
      <c r="A12" s="378" t="s">
        <v>207</v>
      </c>
      <c r="B12" s="379"/>
      <c r="C12" s="379"/>
      <c r="D12" s="379"/>
      <c r="E12" s="379"/>
      <c r="F12" s="380"/>
      <c r="G12" s="378" t="s">
        <v>31</v>
      </c>
      <c r="H12" s="379"/>
      <c r="I12" s="379"/>
      <c r="J12" s="380"/>
    </row>
    <row r="13" spans="1:27">
      <c r="A13" s="381"/>
      <c r="B13" s="382"/>
      <c r="C13" s="382"/>
      <c r="D13" s="382"/>
      <c r="E13" s="382"/>
      <c r="F13" s="383"/>
      <c r="G13" s="381"/>
      <c r="H13" s="382"/>
      <c r="I13" s="382"/>
      <c r="J13" s="383"/>
    </row>
    <row r="14" spans="1:27" ht="39" customHeight="1">
      <c r="A14" s="152" t="s">
        <v>208</v>
      </c>
      <c r="B14" s="153"/>
      <c r="C14" s="153"/>
      <c r="D14" s="153"/>
      <c r="E14" s="153"/>
      <c r="F14" s="154"/>
      <c r="G14" s="152" t="s">
        <v>31</v>
      </c>
      <c r="H14" s="153"/>
      <c r="I14" s="153"/>
      <c r="J14" s="154"/>
    </row>
    <row r="15" spans="1:27">
      <c r="A15" s="152" t="s">
        <v>209</v>
      </c>
      <c r="B15" s="153"/>
      <c r="C15" s="153"/>
      <c r="D15" s="153"/>
      <c r="E15" s="153"/>
      <c r="F15" s="154"/>
      <c r="G15" s="152" t="s">
        <v>31</v>
      </c>
      <c r="H15" s="153"/>
      <c r="I15" s="153"/>
      <c r="J15" s="154"/>
    </row>
    <row r="16" spans="1:27" ht="15.65" customHeight="1">
      <c r="A16" s="378" t="s">
        <v>210</v>
      </c>
      <c r="B16" s="379"/>
      <c r="C16" s="379"/>
      <c r="D16" s="379"/>
      <c r="E16" s="379"/>
      <c r="F16" s="380"/>
      <c r="G16" s="152" t="s">
        <v>31</v>
      </c>
      <c r="H16" s="153"/>
      <c r="I16" s="153"/>
      <c r="J16" s="154"/>
    </row>
    <row r="17" spans="1:10">
      <c r="A17" s="381"/>
      <c r="B17" s="382"/>
      <c r="C17" s="382"/>
      <c r="D17" s="382"/>
      <c r="E17" s="382"/>
      <c r="F17" s="383"/>
      <c r="G17" s="152" t="s">
        <v>31</v>
      </c>
      <c r="H17" s="153"/>
      <c r="I17" s="153"/>
      <c r="J17" s="154"/>
    </row>
    <row r="18" spans="1:10">
      <c r="A18" s="152" t="s">
        <v>211</v>
      </c>
      <c r="B18" s="153"/>
      <c r="C18" s="153"/>
      <c r="D18" s="153"/>
      <c r="E18" s="153"/>
      <c r="F18" s="154"/>
      <c r="G18" s="152" t="s">
        <v>31</v>
      </c>
      <c r="H18" s="153"/>
      <c r="I18" s="153"/>
      <c r="J18" s="154"/>
    </row>
    <row r="19" spans="1:10" ht="33.65" customHeight="1">
      <c r="A19" s="152" t="s">
        <v>212</v>
      </c>
      <c r="B19" s="153"/>
      <c r="C19" s="153"/>
      <c r="D19" s="153"/>
      <c r="E19" s="153"/>
      <c r="F19" s="154"/>
      <c r="G19" s="152" t="s">
        <v>31</v>
      </c>
      <c r="H19" s="153"/>
      <c r="I19" s="153"/>
      <c r="J19" s="154"/>
    </row>
    <row r="20" spans="1:10">
      <c r="A20" s="152" t="s">
        <v>213</v>
      </c>
      <c r="B20" s="153"/>
      <c r="C20" s="153"/>
      <c r="D20" s="153"/>
      <c r="E20" s="153"/>
      <c r="F20" s="154"/>
      <c r="G20" s="316" t="s">
        <v>31</v>
      </c>
      <c r="H20" s="317"/>
      <c r="I20" s="11" t="s">
        <v>214</v>
      </c>
      <c r="J20" s="10"/>
    </row>
    <row r="21" spans="1:10" ht="32" customHeight="1">
      <c r="A21" s="152" t="s">
        <v>215</v>
      </c>
      <c r="B21" s="153"/>
      <c r="C21" s="153"/>
      <c r="D21" s="153"/>
      <c r="E21" s="153"/>
      <c r="F21" s="154"/>
      <c r="G21" s="152" t="s">
        <v>31</v>
      </c>
      <c r="H21" s="153"/>
      <c r="I21" s="153"/>
      <c r="J21" s="154"/>
    </row>
    <row r="22" spans="1:10" ht="39" customHeight="1">
      <c r="A22" s="152" t="s">
        <v>216</v>
      </c>
      <c r="B22" s="153"/>
      <c r="C22" s="153"/>
      <c r="D22" s="153"/>
      <c r="E22" s="153"/>
      <c r="F22" s="154"/>
      <c r="G22" s="152" t="s">
        <v>31</v>
      </c>
      <c r="H22" s="153"/>
      <c r="I22" s="153"/>
      <c r="J22" s="154"/>
    </row>
    <row r="23" spans="1:10" ht="24.65" customHeight="1">
      <c r="A23" s="152" t="s">
        <v>217</v>
      </c>
      <c r="B23" s="153"/>
      <c r="C23" s="153"/>
      <c r="D23" s="153"/>
      <c r="E23" s="153"/>
      <c r="F23" s="154"/>
      <c r="G23" s="152" t="s">
        <v>31</v>
      </c>
      <c r="H23" s="153"/>
      <c r="I23" s="153"/>
      <c r="J23" s="154"/>
    </row>
    <row r="24" spans="1:10" ht="23" customHeight="1">
      <c r="A24" s="152" t="s">
        <v>218</v>
      </c>
      <c r="B24" s="153"/>
      <c r="C24" s="153"/>
      <c r="D24" s="153"/>
      <c r="E24" s="153"/>
      <c r="F24" s="154"/>
      <c r="G24" s="152" t="s">
        <v>31</v>
      </c>
      <c r="H24" s="153"/>
      <c r="I24" s="153"/>
      <c r="J24" s="154"/>
    </row>
    <row r="25" spans="1:10">
      <c r="A25" s="152" t="s">
        <v>219</v>
      </c>
      <c r="B25" s="153"/>
      <c r="C25" s="153"/>
      <c r="D25" s="153"/>
      <c r="E25" s="153"/>
      <c r="F25" s="154"/>
      <c r="G25" s="152" t="s">
        <v>31</v>
      </c>
      <c r="H25" s="153"/>
      <c r="I25" s="153"/>
      <c r="J25" s="154"/>
    </row>
    <row r="26" spans="1:10" ht="15.65" customHeight="1">
      <c r="A26" s="363" t="s">
        <v>220</v>
      </c>
      <c r="B26" s="364"/>
      <c r="C26" s="364"/>
      <c r="D26" s="364"/>
      <c r="E26" s="364"/>
      <c r="F26" s="364"/>
      <c r="G26" s="364"/>
      <c r="H26" s="364"/>
      <c r="I26" s="364"/>
      <c r="J26" s="365"/>
    </row>
    <row r="27" spans="1:10">
      <c r="A27" s="366"/>
      <c r="B27" s="367"/>
      <c r="C27" s="367"/>
      <c r="D27" s="367"/>
      <c r="E27" s="367"/>
      <c r="F27" s="367"/>
      <c r="G27" s="367"/>
      <c r="H27" s="367"/>
      <c r="I27" s="367"/>
      <c r="J27" s="368"/>
    </row>
    <row r="28" spans="1:10">
      <c r="A28" s="318" t="s">
        <v>221</v>
      </c>
      <c r="B28" s="319"/>
      <c r="C28" s="319"/>
      <c r="D28" s="319"/>
      <c r="E28" s="319"/>
      <c r="F28" s="320"/>
      <c r="G28" s="318" t="s">
        <v>31</v>
      </c>
      <c r="H28" s="319"/>
      <c r="I28" s="319"/>
      <c r="J28" s="320"/>
    </row>
    <row r="29" spans="1:10" ht="38" customHeight="1">
      <c r="A29" s="369" t="s">
        <v>222</v>
      </c>
      <c r="B29" s="370"/>
      <c r="C29" s="370"/>
      <c r="D29" s="370"/>
      <c r="E29" s="370"/>
      <c r="F29" s="371"/>
      <c r="G29" s="12" t="s">
        <v>31</v>
      </c>
      <c r="H29" s="321"/>
      <c r="I29" s="321"/>
      <c r="J29" s="321"/>
    </row>
    <row r="30" spans="1:10">
      <c r="A30" s="372"/>
      <c r="B30" s="373"/>
      <c r="C30" s="373"/>
      <c r="D30" s="373"/>
      <c r="E30" s="373"/>
      <c r="F30" s="374"/>
      <c r="G30" s="12" t="s">
        <v>31</v>
      </c>
      <c r="H30" s="321" t="e">
        <f>IF(AUDITOR2=0," ",AUDITOR2)</f>
        <v>#REF!</v>
      </c>
      <c r="I30" s="321"/>
      <c r="J30" s="321"/>
    </row>
    <row r="31" spans="1:10">
      <c r="A31" s="375"/>
      <c r="B31" s="376"/>
      <c r="C31" s="376"/>
      <c r="D31" s="376"/>
      <c r="E31" s="376"/>
      <c r="F31" s="377"/>
      <c r="G31" s="12" t="s">
        <v>31</v>
      </c>
      <c r="H31" s="321" t="e">
        <f>IF(AUDITOR3=0," ",AUDITOR3)</f>
        <v>#REF!</v>
      </c>
      <c r="I31" s="321"/>
      <c r="J31" s="321"/>
    </row>
    <row r="32" spans="1:10" ht="33.65" customHeight="1">
      <c r="A32" s="318" t="s">
        <v>223</v>
      </c>
      <c r="B32" s="319"/>
      <c r="C32" s="319"/>
      <c r="D32" s="319"/>
      <c r="E32" s="319"/>
      <c r="F32" s="320"/>
      <c r="G32" s="12" t="s">
        <v>31</v>
      </c>
      <c r="H32" s="322"/>
      <c r="I32" s="321"/>
      <c r="J32" s="321"/>
    </row>
    <row r="33" spans="1:27">
      <c r="A33" s="318" t="s">
        <v>224</v>
      </c>
      <c r="B33" s="319"/>
      <c r="C33" s="319"/>
      <c r="D33" s="319"/>
      <c r="E33" s="319"/>
      <c r="F33" s="320"/>
      <c r="G33" s="322" t="s">
        <v>31</v>
      </c>
      <c r="H33" s="321"/>
      <c r="I33" s="12" t="s">
        <v>214</v>
      </c>
      <c r="J33" s="13"/>
    </row>
    <row r="34" spans="1:27">
      <c r="A34" s="318" t="s">
        <v>225</v>
      </c>
      <c r="B34" s="319"/>
      <c r="C34" s="319"/>
      <c r="D34" s="319"/>
      <c r="E34" s="319"/>
      <c r="F34" s="320"/>
      <c r="G34" s="318" t="s">
        <v>31</v>
      </c>
      <c r="H34" s="319"/>
      <c r="I34" s="319"/>
      <c r="J34" s="320"/>
    </row>
    <row r="35" spans="1:27">
      <c r="A35" s="318" t="s">
        <v>226</v>
      </c>
      <c r="B35" s="319"/>
      <c r="C35" s="319"/>
      <c r="D35" s="319"/>
      <c r="E35" s="319"/>
      <c r="F35" s="320"/>
      <c r="G35" s="318" t="s">
        <v>31</v>
      </c>
      <c r="H35" s="319"/>
      <c r="I35" s="319"/>
      <c r="J35" s="320"/>
    </row>
    <row r="36" spans="1:27">
      <c r="A36" s="318" t="s">
        <v>227</v>
      </c>
      <c r="B36" s="319"/>
      <c r="C36" s="319"/>
      <c r="D36" s="319"/>
      <c r="E36" s="319"/>
      <c r="F36" s="320"/>
      <c r="G36" s="318" t="s">
        <v>31</v>
      </c>
      <c r="H36" s="319"/>
      <c r="I36" s="319"/>
      <c r="J36" s="320"/>
    </row>
    <row r="37" spans="1:27" ht="68" customHeight="1">
      <c r="A37" s="318" t="s">
        <v>228</v>
      </c>
      <c r="B37" s="319"/>
      <c r="C37" s="319"/>
      <c r="D37" s="319"/>
      <c r="E37" s="319"/>
      <c r="F37" s="320"/>
      <c r="G37" s="318" t="s">
        <v>31</v>
      </c>
      <c r="H37" s="319"/>
      <c r="I37" s="319"/>
      <c r="J37" s="320"/>
    </row>
    <row r="38" spans="1:27" ht="15.65" customHeight="1">
      <c r="A38" s="363" t="s">
        <v>229</v>
      </c>
      <c r="B38" s="364"/>
      <c r="C38" s="364"/>
      <c r="D38" s="364"/>
      <c r="E38" s="364"/>
      <c r="F38" s="364"/>
      <c r="G38" s="364"/>
      <c r="H38" s="364"/>
      <c r="I38" s="364"/>
      <c r="J38" s="365"/>
    </row>
    <row r="39" spans="1:27">
      <c r="A39" s="366"/>
      <c r="B39" s="367"/>
      <c r="C39" s="367"/>
      <c r="D39" s="367"/>
      <c r="E39" s="367"/>
      <c r="F39" s="367"/>
      <c r="G39" s="367"/>
      <c r="H39" s="367"/>
      <c r="I39" s="367"/>
      <c r="J39" s="368"/>
    </row>
    <row r="40" spans="1:27" ht="55.25" customHeight="1">
      <c r="A40" s="126" t="s">
        <v>230</v>
      </c>
      <c r="B40" s="130"/>
      <c r="C40" s="130"/>
      <c r="D40" s="130"/>
      <c r="E40" s="130"/>
      <c r="F40" s="127"/>
      <c r="G40" s="126" t="s">
        <v>31</v>
      </c>
      <c r="H40" s="130"/>
      <c r="I40" s="130"/>
      <c r="J40" s="127"/>
    </row>
    <row r="41" spans="1:27" ht="42.65" customHeight="1">
      <c r="A41" s="126" t="s">
        <v>231</v>
      </c>
      <c r="B41" s="130"/>
      <c r="C41" s="130"/>
      <c r="D41" s="130"/>
      <c r="E41" s="130"/>
      <c r="F41" s="127"/>
      <c r="G41" s="126" t="s">
        <v>31</v>
      </c>
      <c r="H41" s="130"/>
      <c r="I41" s="130"/>
      <c r="J41" s="127"/>
    </row>
    <row r="42" spans="1:27" ht="59" customHeight="1">
      <c r="A42" s="126" t="s">
        <v>232</v>
      </c>
      <c r="B42" s="130"/>
      <c r="C42" s="130"/>
      <c r="D42" s="130"/>
      <c r="E42" s="130"/>
      <c r="F42" s="127"/>
      <c r="G42" s="126" t="s">
        <v>31</v>
      </c>
      <c r="H42" s="130"/>
      <c r="I42" s="130"/>
      <c r="J42" s="127"/>
      <c r="AA42" s="15" t="s">
        <v>233</v>
      </c>
    </row>
    <row r="43" spans="1:27" ht="53.5" customHeight="1">
      <c r="A43" s="126" t="s">
        <v>234</v>
      </c>
      <c r="B43" s="130"/>
      <c r="C43" s="130"/>
      <c r="D43" s="130"/>
      <c r="E43" s="130"/>
      <c r="F43" s="127"/>
      <c r="G43" s="126" t="s">
        <v>31</v>
      </c>
      <c r="H43" s="130"/>
      <c r="I43" s="130"/>
      <c r="J43" s="127"/>
      <c r="AA43" s="15" t="s">
        <v>235</v>
      </c>
    </row>
    <row r="44" spans="1:27" ht="23" customHeight="1">
      <c r="A44" s="323" t="s">
        <v>233</v>
      </c>
      <c r="B44" s="324"/>
      <c r="C44" s="324"/>
      <c r="D44" s="324"/>
      <c r="E44" s="324"/>
      <c r="F44" s="324"/>
      <c r="G44" s="324"/>
      <c r="H44" s="324"/>
      <c r="I44" s="324"/>
      <c r="J44" s="325"/>
      <c r="AA44" s="15" t="s">
        <v>236</v>
      </c>
    </row>
    <row r="45" spans="1:27" ht="38.5" customHeight="1">
      <c r="A45" s="326" t="s">
        <v>237</v>
      </c>
      <c r="B45" s="327"/>
      <c r="C45" s="327"/>
      <c r="D45" s="327"/>
      <c r="E45" s="327"/>
      <c r="F45" s="328"/>
      <c r="G45" s="326" t="s">
        <v>31</v>
      </c>
      <c r="H45" s="327"/>
      <c r="I45" s="327"/>
      <c r="J45" s="328"/>
    </row>
    <row r="46" spans="1:27" ht="25" customHeight="1">
      <c r="A46" s="326" t="s">
        <v>238</v>
      </c>
      <c r="B46" s="327"/>
      <c r="C46" s="327"/>
      <c r="D46" s="327"/>
      <c r="E46" s="327"/>
      <c r="F46" s="328"/>
      <c r="G46" s="326" t="str">
        <f>IF(AN=0," ",AN)</f>
        <v>Meraj Sahab</v>
      </c>
      <c r="H46" s="327"/>
      <c r="I46" s="327"/>
      <c r="J46" s="328"/>
    </row>
    <row r="47" spans="1:27" ht="34" customHeight="1">
      <c r="A47" s="326" t="s">
        <v>239</v>
      </c>
      <c r="B47" s="327"/>
      <c r="C47" s="327"/>
      <c r="D47" s="327"/>
      <c r="E47" s="327"/>
      <c r="F47" s="328"/>
      <c r="G47" s="326" t="s">
        <v>118</v>
      </c>
      <c r="H47" s="327"/>
      <c r="I47" s="327"/>
      <c r="J47" s="328"/>
    </row>
    <row r="48" spans="1:27" ht="56.5" customHeight="1">
      <c r="A48" s="326" t="s">
        <v>240</v>
      </c>
      <c r="B48" s="327"/>
      <c r="C48" s="327"/>
      <c r="D48" s="327"/>
      <c r="E48" s="327"/>
      <c r="F48" s="328"/>
      <c r="G48" s="326" t="s">
        <v>118</v>
      </c>
      <c r="H48" s="327"/>
      <c r="I48" s="327"/>
      <c r="J48" s="328"/>
    </row>
    <row r="49" spans="1:10" ht="44" customHeight="1">
      <c r="A49" s="326" t="s">
        <v>241</v>
      </c>
      <c r="B49" s="327"/>
      <c r="C49" s="327"/>
      <c r="D49" s="327"/>
      <c r="E49" s="327"/>
      <c r="F49" s="328"/>
      <c r="G49" s="326" t="s">
        <v>118</v>
      </c>
      <c r="H49" s="327"/>
      <c r="I49" s="327"/>
      <c r="J49" s="328"/>
    </row>
    <row r="50" spans="1:10" ht="45" customHeight="1">
      <c r="A50" s="326" t="s">
        <v>242</v>
      </c>
      <c r="B50" s="327"/>
      <c r="C50" s="327"/>
      <c r="D50" s="327"/>
      <c r="E50" s="327"/>
      <c r="F50" s="328"/>
      <c r="G50" s="326" t="s">
        <v>118</v>
      </c>
      <c r="H50" s="327"/>
      <c r="I50" s="327"/>
      <c r="J50" s="328"/>
    </row>
    <row r="51" spans="1:10" ht="27" customHeight="1">
      <c r="A51" s="326" t="s">
        <v>243</v>
      </c>
      <c r="B51" s="327"/>
      <c r="C51" s="327"/>
      <c r="D51" s="327"/>
      <c r="E51" s="327"/>
      <c r="F51" s="328"/>
      <c r="G51" s="329">
        <f>IF(DET=0," ",DET)</f>
        <v>46046</v>
      </c>
      <c r="H51" s="330"/>
      <c r="I51" s="330"/>
      <c r="J51" s="331"/>
    </row>
    <row r="52" spans="1:10" ht="63.5" customHeight="1">
      <c r="A52" s="326" t="s">
        <v>244</v>
      </c>
      <c r="B52" s="327"/>
      <c r="C52" s="327"/>
      <c r="D52" s="327"/>
      <c r="E52" s="327"/>
      <c r="F52" s="328"/>
      <c r="G52" s="326" t="s">
        <v>118</v>
      </c>
      <c r="H52" s="327"/>
      <c r="I52" s="327"/>
      <c r="J52" s="328"/>
    </row>
    <row r="53" spans="1:10" ht="35.5" customHeight="1">
      <c r="A53" s="326" t="s">
        <v>245</v>
      </c>
      <c r="B53" s="327"/>
      <c r="C53" s="327"/>
      <c r="D53" s="327"/>
      <c r="E53" s="327"/>
      <c r="F53" s="328"/>
      <c r="G53" s="326" t="s">
        <v>118</v>
      </c>
      <c r="H53" s="327"/>
      <c r="I53" s="327"/>
      <c r="J53" s="328"/>
    </row>
    <row r="54" spans="1:10">
      <c r="A54" s="326" t="s">
        <v>246</v>
      </c>
      <c r="B54" s="327"/>
      <c r="C54" s="327"/>
      <c r="D54" s="327"/>
      <c r="E54" s="327"/>
      <c r="F54" s="328"/>
      <c r="G54" s="326">
        <v>1</v>
      </c>
      <c r="H54" s="327"/>
      <c r="I54" s="327"/>
      <c r="J54" s="328"/>
    </row>
    <row r="55" spans="1:10">
      <c r="A55" s="326" t="s">
        <v>247</v>
      </c>
      <c r="B55" s="327"/>
      <c r="C55" s="327"/>
      <c r="D55" s="327"/>
      <c r="E55" s="327"/>
      <c r="F55" s="328"/>
      <c r="G55" s="326" t="s">
        <v>31</v>
      </c>
      <c r="H55" s="327"/>
      <c r="I55" s="327"/>
      <c r="J55" s="328"/>
    </row>
    <row r="56" spans="1:10">
      <c r="A56" s="326" t="s">
        <v>248</v>
      </c>
      <c r="B56" s="327"/>
      <c r="C56" s="327"/>
      <c r="D56" s="327"/>
      <c r="E56" s="327"/>
      <c r="F56" s="328"/>
      <c r="G56" s="326" t="s">
        <v>31</v>
      </c>
      <c r="H56" s="327"/>
      <c r="I56" s="327"/>
      <c r="J56" s="328"/>
    </row>
    <row r="57" spans="1:10" ht="66.650000000000006" customHeight="1">
      <c r="A57" s="326" t="s">
        <v>249</v>
      </c>
      <c r="B57" s="327"/>
      <c r="C57" s="327"/>
      <c r="D57" s="327"/>
      <c r="E57" s="327"/>
      <c r="F57" s="328"/>
      <c r="G57" s="326" t="s">
        <v>250</v>
      </c>
      <c r="H57" s="327"/>
      <c r="I57" s="327"/>
      <c r="J57" s="328"/>
    </row>
    <row r="58" spans="1:10">
      <c r="A58" s="357" t="s">
        <v>251</v>
      </c>
      <c r="B58" s="358"/>
      <c r="C58" s="358"/>
      <c r="D58" s="358"/>
      <c r="E58" s="358"/>
      <c r="F58" s="358"/>
      <c r="G58" s="358"/>
      <c r="H58" s="358"/>
      <c r="I58" s="358"/>
      <c r="J58" s="359"/>
    </row>
    <row r="59" spans="1:10">
      <c r="A59" s="360"/>
      <c r="B59" s="361"/>
      <c r="C59" s="361"/>
      <c r="D59" s="361"/>
      <c r="E59" s="361"/>
      <c r="F59" s="361"/>
      <c r="G59" s="361"/>
      <c r="H59" s="361"/>
      <c r="I59" s="361"/>
      <c r="J59" s="362"/>
    </row>
    <row r="60" spans="1:10" ht="41.5" customHeight="1">
      <c r="A60" s="332" t="s">
        <v>252</v>
      </c>
      <c r="B60" s="333"/>
      <c r="C60" s="333"/>
      <c r="D60" s="333"/>
      <c r="E60" s="333"/>
      <c r="F60" s="334"/>
      <c r="G60" s="335" t="s">
        <v>31</v>
      </c>
      <c r="H60" s="336"/>
      <c r="I60" s="336"/>
      <c r="J60" s="337"/>
    </row>
    <row r="61" spans="1:10" ht="42" customHeight="1">
      <c r="A61" s="332" t="s">
        <v>237</v>
      </c>
      <c r="B61" s="333"/>
      <c r="C61" s="333"/>
      <c r="D61" s="333"/>
      <c r="E61" s="333"/>
      <c r="F61" s="334"/>
      <c r="G61" s="335" t="s">
        <v>31</v>
      </c>
      <c r="H61" s="336"/>
      <c r="I61" s="336"/>
      <c r="J61" s="337"/>
    </row>
    <row r="62" spans="1:10" ht="32.5" customHeight="1">
      <c r="A62" s="332" t="s">
        <v>253</v>
      </c>
      <c r="B62" s="333"/>
      <c r="C62" s="333"/>
      <c r="D62" s="333"/>
      <c r="E62" s="333"/>
      <c r="F62" s="334"/>
      <c r="G62" s="335" t="s">
        <v>31</v>
      </c>
      <c r="H62" s="336"/>
      <c r="I62" s="336"/>
      <c r="J62" s="337"/>
    </row>
    <row r="63" spans="1:10" ht="31" customHeight="1">
      <c r="A63" s="332" t="s">
        <v>239</v>
      </c>
      <c r="B63" s="333"/>
      <c r="C63" s="333"/>
      <c r="D63" s="333"/>
      <c r="E63" s="333"/>
      <c r="F63" s="334"/>
      <c r="G63" s="335" t="s">
        <v>31</v>
      </c>
      <c r="H63" s="336"/>
      <c r="I63" s="336"/>
      <c r="J63" s="337"/>
    </row>
    <row r="64" spans="1:10" ht="40.25" customHeight="1">
      <c r="A64" s="332" t="s">
        <v>254</v>
      </c>
      <c r="B64" s="333"/>
      <c r="C64" s="333"/>
      <c r="D64" s="333"/>
      <c r="E64" s="333"/>
      <c r="F64" s="334"/>
      <c r="G64" s="335" t="s">
        <v>31</v>
      </c>
      <c r="H64" s="336"/>
      <c r="I64" s="336"/>
      <c r="J64" s="337"/>
    </row>
    <row r="65" spans="1:10" ht="45" customHeight="1">
      <c r="A65" s="332" t="s">
        <v>255</v>
      </c>
      <c r="B65" s="333"/>
      <c r="C65" s="333"/>
      <c r="D65" s="333"/>
      <c r="E65" s="333"/>
      <c r="F65" s="334"/>
      <c r="G65" s="335" t="s">
        <v>31</v>
      </c>
      <c r="H65" s="336"/>
      <c r="I65" s="336"/>
      <c r="J65" s="337"/>
    </row>
    <row r="66" spans="1:10">
      <c r="A66" s="332" t="s">
        <v>243</v>
      </c>
      <c r="B66" s="333"/>
      <c r="C66" s="333"/>
      <c r="D66" s="333"/>
      <c r="E66" s="333"/>
      <c r="F66" s="334"/>
      <c r="G66" s="335" t="s">
        <v>31</v>
      </c>
      <c r="H66" s="336"/>
      <c r="I66" s="336"/>
      <c r="J66" s="337"/>
    </row>
    <row r="67" spans="1:10" ht="67.5" customHeight="1">
      <c r="A67" s="332" t="s">
        <v>256</v>
      </c>
      <c r="B67" s="333"/>
      <c r="C67" s="333"/>
      <c r="D67" s="333"/>
      <c r="E67" s="333"/>
      <c r="F67" s="334"/>
      <c r="G67" s="335" t="s">
        <v>31</v>
      </c>
      <c r="H67" s="336"/>
      <c r="I67" s="336"/>
      <c r="J67" s="337"/>
    </row>
    <row r="68" spans="1:10" ht="36.5" customHeight="1">
      <c r="A68" s="332" t="s">
        <v>257</v>
      </c>
      <c r="B68" s="333"/>
      <c r="C68" s="333"/>
      <c r="D68" s="333"/>
      <c r="E68" s="333"/>
      <c r="F68" s="334"/>
      <c r="G68" s="335" t="s">
        <v>31</v>
      </c>
      <c r="H68" s="336"/>
      <c r="I68" s="336"/>
      <c r="J68" s="337"/>
    </row>
    <row r="69" spans="1:10">
      <c r="A69" s="332" t="s">
        <v>258</v>
      </c>
      <c r="B69" s="333"/>
      <c r="C69" s="333"/>
      <c r="D69" s="333"/>
      <c r="E69" s="333"/>
      <c r="F69" s="334"/>
      <c r="G69" s="335" t="s">
        <v>31</v>
      </c>
      <c r="H69" s="336"/>
      <c r="I69" s="336"/>
      <c r="J69" s="337"/>
    </row>
    <row r="70" spans="1:10">
      <c r="A70" s="332" t="s">
        <v>259</v>
      </c>
      <c r="B70" s="333"/>
      <c r="C70" s="333"/>
      <c r="D70" s="333"/>
      <c r="E70" s="333"/>
      <c r="F70" s="334"/>
      <c r="G70" s="335" t="s">
        <v>31</v>
      </c>
      <c r="H70" s="336"/>
      <c r="I70" s="336"/>
      <c r="J70" s="337"/>
    </row>
    <row r="71" spans="1:10">
      <c r="A71" s="332" t="s">
        <v>260</v>
      </c>
      <c r="B71" s="333"/>
      <c r="C71" s="333"/>
      <c r="D71" s="333"/>
      <c r="E71" s="333"/>
      <c r="F71" s="334"/>
      <c r="G71" s="335" t="s">
        <v>31</v>
      </c>
      <c r="H71" s="336"/>
      <c r="I71" s="336"/>
      <c r="J71" s="337"/>
    </row>
    <row r="72" spans="1:10">
      <c r="A72" s="332" t="s">
        <v>227</v>
      </c>
      <c r="B72" s="333"/>
      <c r="C72" s="333"/>
      <c r="D72" s="333"/>
      <c r="E72" s="333"/>
      <c r="F72" s="334"/>
      <c r="G72" s="335" t="s">
        <v>31</v>
      </c>
      <c r="H72" s="336"/>
      <c r="I72" s="336"/>
      <c r="J72" s="337"/>
    </row>
    <row r="73" spans="1:10" ht="59.5" customHeight="1">
      <c r="A73" s="332" t="s">
        <v>261</v>
      </c>
      <c r="B73" s="333"/>
      <c r="C73" s="333"/>
      <c r="D73" s="333"/>
      <c r="E73" s="333"/>
      <c r="F73" s="334"/>
      <c r="G73" s="335" t="s">
        <v>31</v>
      </c>
      <c r="H73" s="336"/>
      <c r="I73" s="336"/>
      <c r="J73" s="337"/>
    </row>
    <row r="74" spans="1:10" ht="35.5" customHeight="1">
      <c r="A74" s="16" t="s">
        <v>262</v>
      </c>
      <c r="B74" s="16" t="str">
        <f>IF(RN=0," ",RN)</f>
        <v>Sitanath Nandi</v>
      </c>
      <c r="C74" s="384" t="s">
        <v>263</v>
      </c>
      <c r="D74" s="384"/>
      <c r="E74" s="384"/>
      <c r="F74" s="384"/>
      <c r="G74" s="384"/>
      <c r="H74" s="384"/>
      <c r="I74" s="384"/>
      <c r="J74" s="384"/>
    </row>
    <row r="75" spans="1:10">
      <c r="A75" s="347" t="s">
        <v>264</v>
      </c>
      <c r="B75" s="348"/>
      <c r="C75" s="348"/>
      <c r="D75" s="348"/>
      <c r="E75" s="348"/>
      <c r="F75" s="348"/>
      <c r="G75" s="348"/>
      <c r="H75" s="348"/>
      <c r="I75" s="348"/>
      <c r="J75" s="349"/>
    </row>
    <row r="76" spans="1:10">
      <c r="A76" s="350"/>
      <c r="B76" s="351"/>
      <c r="C76" s="351"/>
      <c r="D76" s="351"/>
      <c r="E76" s="351"/>
      <c r="F76" s="351"/>
      <c r="G76" s="351"/>
      <c r="H76" s="351"/>
      <c r="I76" s="351"/>
      <c r="J76" s="352"/>
    </row>
    <row r="77" spans="1:10">
      <c r="A77" s="350"/>
      <c r="B77" s="351"/>
      <c r="C77" s="351"/>
      <c r="D77" s="351"/>
      <c r="E77" s="351"/>
      <c r="F77" s="351"/>
      <c r="G77" s="351"/>
      <c r="H77" s="351"/>
      <c r="I77" s="351"/>
      <c r="J77" s="352"/>
    </row>
    <row r="78" spans="1:10">
      <c r="A78" s="350"/>
      <c r="B78" s="351"/>
      <c r="C78" s="351"/>
      <c r="D78" s="351"/>
      <c r="E78" s="351"/>
      <c r="F78" s="351"/>
      <c r="G78" s="351"/>
      <c r="H78" s="351"/>
      <c r="I78" s="351"/>
      <c r="J78" s="352"/>
    </row>
    <row r="79" spans="1:10">
      <c r="A79" s="350"/>
      <c r="B79" s="351"/>
      <c r="C79" s="351"/>
      <c r="D79" s="351"/>
      <c r="E79" s="351"/>
      <c r="F79" s="351"/>
      <c r="G79" s="351"/>
      <c r="H79" s="351"/>
      <c r="I79" s="351"/>
      <c r="J79" s="352"/>
    </row>
    <row r="80" spans="1:10">
      <c r="A80" s="350"/>
      <c r="B80" s="351"/>
      <c r="C80" s="351"/>
      <c r="D80" s="351"/>
      <c r="E80" s="351"/>
      <c r="F80" s="351"/>
      <c r="G80" s="351"/>
      <c r="H80" s="351"/>
      <c r="I80" s="351"/>
      <c r="J80" s="352"/>
    </row>
    <row r="81" spans="1:10">
      <c r="A81" s="350"/>
      <c r="B81" s="351"/>
      <c r="C81" s="351"/>
      <c r="D81" s="351"/>
      <c r="E81" s="351"/>
      <c r="F81" s="351"/>
      <c r="G81" s="351"/>
      <c r="H81" s="351"/>
      <c r="I81" s="351"/>
      <c r="J81" s="352"/>
    </row>
    <row r="82" spans="1:10">
      <c r="A82" s="350"/>
      <c r="B82" s="351"/>
      <c r="C82" s="351"/>
      <c r="D82" s="351"/>
      <c r="E82" s="351"/>
      <c r="F82" s="351"/>
      <c r="G82" s="351"/>
      <c r="H82" s="351"/>
      <c r="I82" s="351"/>
      <c r="J82" s="352"/>
    </row>
    <row r="83" spans="1:10" ht="48.65" customHeight="1">
      <c r="A83" s="353"/>
      <c r="B83" s="354"/>
      <c r="C83" s="354"/>
      <c r="D83" s="354"/>
      <c r="E83" s="354"/>
      <c r="F83" s="354"/>
      <c r="G83" s="354"/>
      <c r="H83" s="354"/>
      <c r="I83" s="354"/>
      <c r="J83" s="355"/>
    </row>
    <row r="84" spans="1:10" ht="29">
      <c r="A84" s="17" t="s">
        <v>265</v>
      </c>
      <c r="B84" s="18">
        <f>IF(DET=0," ",DET)+1</f>
        <v>46047</v>
      </c>
      <c r="C84" s="385"/>
      <c r="D84" s="258"/>
      <c r="E84" s="258"/>
      <c r="F84" s="258"/>
      <c r="G84" s="258"/>
      <c r="H84" s="258"/>
      <c r="I84" s="258"/>
      <c r="J84" s="260"/>
    </row>
    <row r="85" spans="1:10">
      <c r="A85" s="356" t="s">
        <v>266</v>
      </c>
      <c r="B85" s="356"/>
      <c r="C85" s="356"/>
      <c r="D85" s="356"/>
      <c r="E85" s="356"/>
      <c r="F85" s="356"/>
      <c r="G85" s="356"/>
      <c r="H85" s="356"/>
      <c r="I85" s="356"/>
      <c r="J85" s="356"/>
    </row>
    <row r="86" spans="1:10">
      <c r="A86" s="356"/>
      <c r="B86" s="356"/>
      <c r="C86" s="356"/>
      <c r="D86" s="356"/>
      <c r="E86" s="356"/>
      <c r="F86" s="356"/>
      <c r="G86" s="356"/>
      <c r="H86" s="356"/>
      <c r="I86" s="356"/>
      <c r="J86" s="356"/>
    </row>
    <row r="87" spans="1:10">
      <c r="A87" s="356"/>
      <c r="B87" s="356"/>
      <c r="C87" s="356"/>
      <c r="D87" s="356"/>
      <c r="E87" s="356"/>
      <c r="F87" s="356"/>
      <c r="G87" s="356"/>
      <c r="H87" s="356"/>
      <c r="I87" s="356"/>
      <c r="J87" s="356"/>
    </row>
    <row r="88" spans="1:10">
      <c r="A88" s="356"/>
      <c r="B88" s="356"/>
      <c r="C88" s="356"/>
      <c r="D88" s="356"/>
      <c r="E88" s="356"/>
      <c r="F88" s="356"/>
      <c r="G88" s="356"/>
      <c r="H88" s="356"/>
      <c r="I88" s="356"/>
      <c r="J88" s="356"/>
    </row>
    <row r="89" spans="1:10">
      <c r="A89" s="356"/>
      <c r="B89" s="356"/>
      <c r="C89" s="356"/>
      <c r="D89" s="356"/>
      <c r="E89" s="356"/>
      <c r="F89" s="356"/>
      <c r="G89" s="356"/>
      <c r="H89" s="356"/>
      <c r="I89" s="356"/>
      <c r="J89" s="356"/>
    </row>
    <row r="90" spans="1:10">
      <c r="A90" s="356"/>
      <c r="B90" s="356"/>
      <c r="C90" s="356"/>
      <c r="D90" s="356"/>
      <c r="E90" s="356"/>
      <c r="F90" s="356"/>
      <c r="G90" s="356"/>
      <c r="H90" s="356"/>
      <c r="I90" s="356"/>
      <c r="J90" s="356"/>
    </row>
    <row r="91" spans="1:10">
      <c r="A91" s="356"/>
      <c r="B91" s="356"/>
      <c r="C91" s="356"/>
      <c r="D91" s="356"/>
      <c r="E91" s="356"/>
      <c r="F91" s="356"/>
      <c r="G91" s="356"/>
      <c r="H91" s="356"/>
      <c r="I91" s="356"/>
      <c r="J91" s="356"/>
    </row>
    <row r="92" spans="1:10" ht="29">
      <c r="A92" s="17" t="s">
        <v>265</v>
      </c>
      <c r="B92" s="18">
        <f>IF(DET=0," ",DET)+1</f>
        <v>46047</v>
      </c>
      <c r="C92" s="385"/>
      <c r="D92" s="258"/>
      <c r="E92" s="258"/>
      <c r="F92" s="258"/>
      <c r="G92" s="258"/>
      <c r="H92" s="258"/>
      <c r="I92" s="258"/>
      <c r="J92" s="260"/>
    </row>
    <row r="93" spans="1:10" ht="20" customHeight="1">
      <c r="A93" s="221" t="s">
        <v>267</v>
      </c>
      <c r="B93" s="221"/>
      <c r="C93" s="221"/>
      <c r="D93" s="221"/>
      <c r="E93" s="221"/>
      <c r="F93" s="221"/>
      <c r="G93" s="221"/>
      <c r="H93" s="221"/>
      <c r="I93" s="221"/>
      <c r="J93" s="221"/>
    </row>
  </sheetData>
  <mergeCells count="128">
    <mergeCell ref="A93:J93"/>
    <mergeCell ref="A1:J4"/>
    <mergeCell ref="A75:J83"/>
    <mergeCell ref="A85:J91"/>
    <mergeCell ref="A58:J59"/>
    <mergeCell ref="A38:J39"/>
    <mergeCell ref="A26:J27"/>
    <mergeCell ref="A29:F31"/>
    <mergeCell ref="A16:F17"/>
    <mergeCell ref="A12:F13"/>
    <mergeCell ref="G12:J13"/>
    <mergeCell ref="A71:F71"/>
    <mergeCell ref="G71:J71"/>
    <mergeCell ref="A72:F72"/>
    <mergeCell ref="G72:J72"/>
    <mergeCell ref="A73:F73"/>
    <mergeCell ref="G73:J73"/>
    <mergeCell ref="C74:J74"/>
    <mergeCell ref="C84:J84"/>
    <mergeCell ref="C92:J92"/>
    <mergeCell ref="A66:F66"/>
    <mergeCell ref="G66:J66"/>
    <mergeCell ref="A67:F67"/>
    <mergeCell ref="G67:J67"/>
    <mergeCell ref="A68:F68"/>
    <mergeCell ref="G68:J68"/>
    <mergeCell ref="A69:F69"/>
    <mergeCell ref="G69:J69"/>
    <mergeCell ref="A70:F70"/>
    <mergeCell ref="G70:J70"/>
    <mergeCell ref="A61:F61"/>
    <mergeCell ref="G61:J61"/>
    <mergeCell ref="A62:F62"/>
    <mergeCell ref="G62:J62"/>
    <mergeCell ref="A63:F63"/>
    <mergeCell ref="G63:J63"/>
    <mergeCell ref="A64:F64"/>
    <mergeCell ref="G64:J64"/>
    <mergeCell ref="A65:F65"/>
    <mergeCell ref="G65:J65"/>
    <mergeCell ref="A54:F54"/>
    <mergeCell ref="G54:J54"/>
    <mergeCell ref="A55:F55"/>
    <mergeCell ref="G55:J55"/>
    <mergeCell ref="A56:F56"/>
    <mergeCell ref="G56:J56"/>
    <mergeCell ref="A57:F57"/>
    <mergeCell ref="G57:J57"/>
    <mergeCell ref="A60:F60"/>
    <mergeCell ref="G60:J60"/>
    <mergeCell ref="A49:F49"/>
    <mergeCell ref="G49:J49"/>
    <mergeCell ref="A50:F50"/>
    <mergeCell ref="G50:J50"/>
    <mergeCell ref="A51:F51"/>
    <mergeCell ref="G51:J51"/>
    <mergeCell ref="A52:F52"/>
    <mergeCell ref="G52:J52"/>
    <mergeCell ref="A53:F53"/>
    <mergeCell ref="G53:J53"/>
    <mergeCell ref="A44:J44"/>
    <mergeCell ref="A45:F45"/>
    <mergeCell ref="G45:J45"/>
    <mergeCell ref="A46:F46"/>
    <mergeCell ref="G46:J46"/>
    <mergeCell ref="A47:F47"/>
    <mergeCell ref="G47:J47"/>
    <mergeCell ref="A48:F48"/>
    <mergeCell ref="G48:J48"/>
    <mergeCell ref="A37:F37"/>
    <mergeCell ref="G37:J37"/>
    <mergeCell ref="A40:F40"/>
    <mergeCell ref="G40:J40"/>
    <mergeCell ref="A41:F41"/>
    <mergeCell ref="G41:J41"/>
    <mergeCell ref="A42:F42"/>
    <mergeCell ref="G42:J42"/>
    <mergeCell ref="A43:F43"/>
    <mergeCell ref="G43:J43"/>
    <mergeCell ref="A32:F32"/>
    <mergeCell ref="H32:J32"/>
    <mergeCell ref="A33:F33"/>
    <mergeCell ref="G33:H33"/>
    <mergeCell ref="A34:F34"/>
    <mergeCell ref="G34:J34"/>
    <mergeCell ref="A35:F35"/>
    <mergeCell ref="G35:J35"/>
    <mergeCell ref="A36:F36"/>
    <mergeCell ref="G36:J36"/>
    <mergeCell ref="A24:F24"/>
    <mergeCell ref="G24:J24"/>
    <mergeCell ref="A25:F25"/>
    <mergeCell ref="G25:J25"/>
    <mergeCell ref="A28:F28"/>
    <mergeCell ref="G28:J28"/>
    <mergeCell ref="H29:J29"/>
    <mergeCell ref="H30:J30"/>
    <mergeCell ref="H31:J31"/>
    <mergeCell ref="A19:F19"/>
    <mergeCell ref="G19:J19"/>
    <mergeCell ref="A20:F20"/>
    <mergeCell ref="G20:H20"/>
    <mergeCell ref="A21:F21"/>
    <mergeCell ref="G21:J21"/>
    <mergeCell ref="A22:F22"/>
    <mergeCell ref="G22:J22"/>
    <mergeCell ref="A23:F23"/>
    <mergeCell ref="G23:J23"/>
    <mergeCell ref="A10:J10"/>
    <mergeCell ref="A11:J11"/>
    <mergeCell ref="A14:F14"/>
    <mergeCell ref="G14:J14"/>
    <mergeCell ref="A15:F15"/>
    <mergeCell ref="G15:J15"/>
    <mergeCell ref="G16:J16"/>
    <mergeCell ref="G17:J17"/>
    <mergeCell ref="A18:F18"/>
    <mergeCell ref="G18:J18"/>
    <mergeCell ref="A5:E5"/>
    <mergeCell ref="F5:J5"/>
    <mergeCell ref="A6:C6"/>
    <mergeCell ref="F6:J6"/>
    <mergeCell ref="A7:E7"/>
    <mergeCell ref="F7:J7"/>
    <mergeCell ref="A8:E8"/>
    <mergeCell ref="F8:J8"/>
    <mergeCell ref="A9:F9"/>
    <mergeCell ref="G9:J9"/>
  </mergeCells>
  <dataValidations count="2">
    <dataValidation type="list" allowBlank="1" showInputMessage="1" showErrorMessage="1" sqref="F8:J8" xr:uid="{00000000-0002-0000-0400-000000000000}">
      <formula1>$AA$1:$AA$5</formula1>
    </dataValidation>
    <dataValidation type="list" allowBlank="1" showInputMessage="1" showErrorMessage="1" sqref="A44:J44" xr:uid="{00000000-0002-0000-0400-000001000000}">
      <formula1>$AA$42:$AA$44</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0"/>
  <sheetViews>
    <sheetView topLeftCell="A3" workbookViewId="0">
      <selection activeCell="H18" sqref="H18"/>
    </sheetView>
  </sheetViews>
  <sheetFormatPr defaultColWidth="8.7265625" defaultRowHeight="14.5"/>
  <cols>
    <col min="1" max="1" width="34.36328125" style="1" customWidth="1"/>
    <col min="2" max="2" width="8.7265625" style="1"/>
    <col min="3" max="3" width="13.54296875" style="1" customWidth="1"/>
    <col min="4" max="6" width="8.7265625" style="1"/>
    <col min="7" max="7" width="8.36328125" style="1" customWidth="1"/>
    <col min="8" max="16384" width="8.7265625" style="1"/>
  </cols>
  <sheetData>
    <row r="1" spans="1:7" ht="64.5" customHeight="1">
      <c r="A1" s="386" t="s">
        <v>268</v>
      </c>
      <c r="B1" s="387"/>
      <c r="C1" s="387"/>
      <c r="D1" s="387"/>
      <c r="E1" s="387"/>
      <c r="F1" s="387"/>
      <c r="G1" s="388"/>
    </row>
    <row r="2" spans="1:7">
      <c r="A2" s="2" t="s">
        <v>48</v>
      </c>
      <c r="B2" s="98" t="str">
        <f>IF(NM=0," ",NM)</f>
        <v xml:space="preserve">DLMM ENTERPRISE </v>
      </c>
      <c r="C2" s="99"/>
      <c r="D2" s="99"/>
      <c r="E2" s="99"/>
      <c r="F2" s="99"/>
      <c r="G2" s="389"/>
    </row>
    <row r="3" spans="1:7">
      <c r="A3" s="2" t="s">
        <v>52</v>
      </c>
      <c r="B3" s="390" t="s">
        <v>10</v>
      </c>
      <c r="C3" s="391"/>
      <c r="D3" s="391"/>
      <c r="E3" s="391"/>
      <c r="F3" s="391"/>
      <c r="G3" s="392"/>
    </row>
    <row r="4" spans="1:7">
      <c r="A4" s="2" t="s">
        <v>269</v>
      </c>
      <c r="B4" s="390">
        <v>1</v>
      </c>
      <c r="C4" s="391"/>
      <c r="D4" s="391"/>
      <c r="E4" s="391"/>
      <c r="F4" s="391"/>
      <c r="G4" s="392"/>
    </row>
    <row r="5" spans="1:7">
      <c r="A5" s="2" t="s">
        <v>270</v>
      </c>
      <c r="B5" s="390"/>
      <c r="C5" s="391"/>
      <c r="D5" s="391"/>
      <c r="E5" s="391"/>
      <c r="F5" s="391"/>
      <c r="G5" s="392"/>
    </row>
    <row r="6" spans="1:7">
      <c r="A6" s="2" t="s">
        <v>202</v>
      </c>
      <c r="B6" s="390"/>
      <c r="C6" s="391"/>
      <c r="D6" s="391"/>
      <c r="E6" s="391"/>
      <c r="F6" s="391"/>
      <c r="G6" s="392"/>
    </row>
    <row r="7" spans="1:7">
      <c r="A7" s="2" t="s">
        <v>127</v>
      </c>
      <c r="B7" s="390"/>
      <c r="C7" s="391"/>
      <c r="D7" s="391"/>
      <c r="E7" s="391"/>
      <c r="F7" s="391"/>
      <c r="G7" s="392"/>
    </row>
    <row r="8" spans="1:7">
      <c r="A8" s="2" t="s">
        <v>271</v>
      </c>
      <c r="B8" s="390"/>
      <c r="C8" s="391"/>
      <c r="D8" s="391"/>
      <c r="E8" s="391"/>
      <c r="F8" s="391"/>
      <c r="G8" s="392"/>
    </row>
    <row r="9" spans="1:7">
      <c r="A9" s="2" t="s">
        <v>272</v>
      </c>
      <c r="B9" s="390"/>
      <c r="C9" s="391"/>
      <c r="D9" s="391"/>
      <c r="E9" s="391"/>
      <c r="F9" s="391"/>
      <c r="G9" s="392"/>
    </row>
    <row r="10" spans="1:7">
      <c r="A10" s="2" t="s">
        <v>273</v>
      </c>
      <c r="B10" s="390"/>
      <c r="C10" s="391"/>
      <c r="D10" s="391"/>
      <c r="E10" s="391"/>
      <c r="F10" s="391"/>
      <c r="G10" s="392"/>
    </row>
    <row r="11" spans="1:7">
      <c r="A11" s="2" t="s">
        <v>274</v>
      </c>
      <c r="B11" s="390"/>
      <c r="C11" s="391"/>
      <c r="D11" s="391"/>
      <c r="E11" s="391"/>
      <c r="F11" s="391"/>
      <c r="G11" s="392"/>
    </row>
    <row r="12" spans="1:7">
      <c r="A12" s="2" t="s">
        <v>275</v>
      </c>
      <c r="B12" s="390"/>
      <c r="C12" s="391"/>
      <c r="D12" s="391"/>
      <c r="E12" s="391"/>
      <c r="F12" s="391"/>
      <c r="G12" s="392"/>
    </row>
    <row r="13" spans="1:7">
      <c r="A13" s="402" t="s">
        <v>276</v>
      </c>
      <c r="B13" s="393"/>
      <c r="C13" s="394"/>
      <c r="D13" s="394"/>
      <c r="E13" s="394"/>
      <c r="F13" s="394"/>
      <c r="G13" s="395"/>
    </row>
    <row r="14" spans="1:7">
      <c r="A14" s="403"/>
      <c r="B14" s="390"/>
      <c r="C14" s="391"/>
      <c r="D14" s="391"/>
      <c r="E14" s="391"/>
      <c r="F14" s="391"/>
      <c r="G14" s="392"/>
    </row>
    <row r="15" spans="1:7">
      <c r="A15" s="396" t="s">
        <v>277</v>
      </c>
      <c r="B15" s="397"/>
      <c r="C15" s="397"/>
      <c r="D15" s="397"/>
      <c r="E15" s="397"/>
      <c r="F15" s="397"/>
      <c r="G15" s="398"/>
    </row>
    <row r="16" spans="1:7">
      <c r="A16" s="3" t="s">
        <v>278</v>
      </c>
      <c r="B16" s="404"/>
      <c r="C16" s="404"/>
      <c r="D16" s="404"/>
      <c r="E16" s="404"/>
      <c r="F16" s="404"/>
      <c r="G16" s="405"/>
    </row>
    <row r="17" spans="1:7">
      <c r="A17" s="3" t="s">
        <v>279</v>
      </c>
      <c r="B17" s="404"/>
      <c r="C17" s="404"/>
      <c r="D17" s="4" t="s">
        <v>280</v>
      </c>
      <c r="E17" s="404" t="str">
        <f>IF(ROLE1=0,"  ",ROLE1)</f>
        <v>Lead Auditor</v>
      </c>
      <c r="F17" s="404"/>
      <c r="G17" s="405"/>
    </row>
    <row r="18" spans="1:7" ht="53.5" customHeight="1">
      <c r="A18" s="406" t="s">
        <v>281</v>
      </c>
      <c r="B18" s="407"/>
      <c r="C18" s="407"/>
      <c r="D18" s="407"/>
      <c r="E18" s="407"/>
      <c r="F18" s="407"/>
      <c r="G18" s="408"/>
    </row>
    <row r="19" spans="1:7">
      <c r="A19" s="5" t="s">
        <v>282</v>
      </c>
      <c r="B19" s="409"/>
      <c r="C19" s="409"/>
      <c r="D19" s="6" t="s">
        <v>283</v>
      </c>
      <c r="E19" s="410"/>
      <c r="F19" s="411"/>
      <c r="G19" s="412"/>
    </row>
    <row r="20" spans="1:7">
      <c r="A20" s="399" t="s">
        <v>284</v>
      </c>
      <c r="B20" s="400"/>
      <c r="C20" s="400"/>
      <c r="D20" s="400"/>
      <c r="E20" s="400"/>
      <c r="F20" s="400"/>
      <c r="G20" s="401"/>
    </row>
  </sheetData>
  <mergeCells count="23">
    <mergeCell ref="A20:G20"/>
    <mergeCell ref="A13:A14"/>
    <mergeCell ref="B16:G16"/>
    <mergeCell ref="B17:C17"/>
    <mergeCell ref="E17:G17"/>
    <mergeCell ref="A18:G18"/>
    <mergeCell ref="B19:C19"/>
    <mergeCell ref="E19:G19"/>
    <mergeCell ref="B11:G11"/>
    <mergeCell ref="B12:G12"/>
    <mergeCell ref="B13:G13"/>
    <mergeCell ref="B14:G14"/>
    <mergeCell ref="A15:G15"/>
    <mergeCell ref="B6:G6"/>
    <mergeCell ref="B7:G7"/>
    <mergeCell ref="B8:G8"/>
    <mergeCell ref="B9:G9"/>
    <mergeCell ref="B10:G10"/>
    <mergeCell ref="A1:G1"/>
    <mergeCell ref="B2:G2"/>
    <mergeCell ref="B3:G3"/>
    <mergeCell ref="B4:G4"/>
    <mergeCell ref="B5:G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Check Box 1">
              <controlPr defaultSize="0" autoPict="0">
                <anchor moveWithCells="1">
                  <from>
                    <xdr:col>3</xdr:col>
                    <xdr:colOff>279400</xdr:colOff>
                    <xdr:row>17</xdr:row>
                    <xdr:rowOff>50800</xdr:rowOff>
                  </from>
                  <to>
                    <xdr:col>3</xdr:col>
                    <xdr:colOff>495300</xdr:colOff>
                    <xdr:row>17</xdr:row>
                    <xdr:rowOff>311150</xdr:rowOff>
                  </to>
                </anchor>
              </controlPr>
            </control>
          </mc:Choice>
        </mc:AlternateContent>
        <mc:AlternateContent xmlns:mc="http://schemas.openxmlformats.org/markup-compatibility/2006">
          <mc:Choice Requires="x14">
            <control shapeId="6146" r:id="rId4" name="Check Box 2">
              <controlPr defaultSize="0" autoPict="0">
                <anchor moveWithCells="1">
                  <from>
                    <xdr:col>4</xdr:col>
                    <xdr:colOff>400050</xdr:colOff>
                    <xdr:row>17</xdr:row>
                    <xdr:rowOff>76200</xdr:rowOff>
                  </from>
                  <to>
                    <xdr:col>5</xdr:col>
                    <xdr:colOff>31750</xdr:colOff>
                    <xdr:row>17</xdr:row>
                    <xdr:rowOff>311150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S26"/>
  <sheetViews>
    <sheetView tabSelected="1" zoomScale="90" zoomScaleNormal="90" workbookViewId="0">
      <selection activeCell="U15" sqref="U15"/>
    </sheetView>
  </sheetViews>
  <sheetFormatPr defaultColWidth="9" defaultRowHeight="14.5"/>
  <cols>
    <col min="1" max="1" width="0.81640625" customWidth="1"/>
    <col min="9" max="9" width="33.26953125" customWidth="1"/>
    <col min="10" max="10" width="24.36328125" hidden="1" customWidth="1"/>
    <col min="11" max="11" width="15.90625" hidden="1" customWidth="1"/>
    <col min="12" max="12" width="0.26953125" hidden="1" customWidth="1"/>
    <col min="13" max="13" width="9.453125" hidden="1" customWidth="1"/>
    <col min="14" max="14" width="0.453125" hidden="1" customWidth="1"/>
    <col min="15" max="15" width="9.453125" hidden="1" customWidth="1"/>
    <col min="16" max="16" width="5.1796875" hidden="1" customWidth="1"/>
    <col min="17" max="18" width="9.453125" hidden="1" customWidth="1"/>
    <col min="19" max="19" width="15.6328125" customWidth="1"/>
  </cols>
  <sheetData>
    <row r="1" spans="2:19">
      <c r="B1" s="414" t="s">
        <v>285</v>
      </c>
      <c r="C1" s="415"/>
      <c r="D1" s="415"/>
      <c r="E1" s="415"/>
      <c r="F1" s="415"/>
      <c r="G1" s="415"/>
      <c r="H1" s="415"/>
      <c r="I1" s="415"/>
      <c r="J1" s="415"/>
      <c r="K1" s="415"/>
      <c r="L1" s="415"/>
      <c r="M1" s="415"/>
      <c r="N1" s="415"/>
      <c r="O1" s="415"/>
      <c r="P1" s="415"/>
      <c r="Q1" s="415"/>
      <c r="R1" s="415"/>
      <c r="S1" s="415"/>
    </row>
    <row r="2" spans="2:19">
      <c r="B2" s="415"/>
      <c r="C2" s="415"/>
      <c r="D2" s="415"/>
      <c r="E2" s="415"/>
      <c r="F2" s="415"/>
      <c r="G2" s="415"/>
      <c r="H2" s="415"/>
      <c r="I2" s="415"/>
      <c r="J2" s="415"/>
      <c r="K2" s="415"/>
      <c r="L2" s="415"/>
      <c r="M2" s="415"/>
      <c r="N2" s="415"/>
      <c r="O2" s="415"/>
      <c r="P2" s="415"/>
      <c r="Q2" s="415"/>
      <c r="R2" s="415"/>
      <c r="S2" s="415"/>
    </row>
    <row r="3" spans="2:19" ht="30" customHeight="1">
      <c r="B3" s="415"/>
      <c r="C3" s="415"/>
      <c r="D3" s="415"/>
      <c r="E3" s="415"/>
      <c r="F3" s="415"/>
      <c r="G3" s="415"/>
      <c r="H3" s="415"/>
      <c r="I3" s="415"/>
      <c r="J3" s="415"/>
      <c r="K3" s="415"/>
      <c r="L3" s="415"/>
      <c r="M3" s="415"/>
      <c r="N3" s="415"/>
      <c r="O3" s="415"/>
      <c r="P3" s="415"/>
      <c r="Q3" s="415"/>
      <c r="R3" s="415"/>
      <c r="S3" s="415"/>
    </row>
    <row r="4" spans="2:19" ht="15.5" customHeight="1">
      <c r="B4" s="416" t="s">
        <v>328</v>
      </c>
      <c r="C4" s="417"/>
      <c r="D4" s="417"/>
      <c r="E4" s="417"/>
      <c r="F4" s="417"/>
      <c r="G4" s="417"/>
      <c r="H4" s="417"/>
      <c r="I4" s="417"/>
      <c r="J4" s="417"/>
      <c r="K4" s="417"/>
      <c r="L4" s="417"/>
      <c r="M4" s="417"/>
      <c r="N4" s="417"/>
      <c r="O4" s="417"/>
      <c r="P4" s="417"/>
      <c r="Q4" s="417"/>
      <c r="R4" s="417"/>
      <c r="S4" s="418"/>
    </row>
    <row r="5" spans="2:19">
      <c r="B5" s="419"/>
      <c r="C5" s="420"/>
      <c r="D5" s="420"/>
      <c r="E5" s="420"/>
      <c r="F5" s="420"/>
      <c r="G5" s="420"/>
      <c r="H5" s="420"/>
      <c r="I5" s="420"/>
      <c r="J5" s="420"/>
      <c r="K5" s="420"/>
      <c r="L5" s="420"/>
      <c r="M5" s="420"/>
      <c r="N5" s="420"/>
      <c r="O5" s="420"/>
      <c r="P5" s="420"/>
      <c r="Q5" s="420"/>
      <c r="R5" s="420"/>
      <c r="S5" s="421"/>
    </row>
    <row r="6" spans="2:19">
      <c r="B6" s="419"/>
      <c r="C6" s="420"/>
      <c r="D6" s="420"/>
      <c r="E6" s="420"/>
      <c r="F6" s="420"/>
      <c r="G6" s="420"/>
      <c r="H6" s="420"/>
      <c r="I6" s="420"/>
      <c r="J6" s="420"/>
      <c r="K6" s="420"/>
      <c r="L6" s="420"/>
      <c r="M6" s="420"/>
      <c r="N6" s="420"/>
      <c r="O6" s="420"/>
      <c r="P6" s="420"/>
      <c r="Q6" s="420"/>
      <c r="R6" s="420"/>
      <c r="S6" s="421"/>
    </row>
    <row r="7" spans="2:19">
      <c r="B7" s="419"/>
      <c r="C7" s="420"/>
      <c r="D7" s="420"/>
      <c r="E7" s="420"/>
      <c r="F7" s="420"/>
      <c r="G7" s="420"/>
      <c r="H7" s="420"/>
      <c r="I7" s="420"/>
      <c r="J7" s="420"/>
      <c r="K7" s="420"/>
      <c r="L7" s="420"/>
      <c r="M7" s="420"/>
      <c r="N7" s="420"/>
      <c r="O7" s="420"/>
      <c r="P7" s="420"/>
      <c r="Q7" s="420"/>
      <c r="R7" s="420"/>
      <c r="S7" s="421"/>
    </row>
    <row r="8" spans="2:19">
      <c r="B8" s="419"/>
      <c r="C8" s="420"/>
      <c r="D8" s="420"/>
      <c r="E8" s="420"/>
      <c r="F8" s="420"/>
      <c r="G8" s="420"/>
      <c r="H8" s="420"/>
      <c r="I8" s="420"/>
      <c r="J8" s="420"/>
      <c r="K8" s="420"/>
      <c r="L8" s="420"/>
      <c r="M8" s="420"/>
      <c r="N8" s="420"/>
      <c r="O8" s="420"/>
      <c r="P8" s="420"/>
      <c r="Q8" s="420"/>
      <c r="R8" s="420"/>
      <c r="S8" s="421"/>
    </row>
    <row r="9" spans="2:19">
      <c r="B9" s="419"/>
      <c r="C9" s="420"/>
      <c r="D9" s="420"/>
      <c r="E9" s="420"/>
      <c r="F9" s="420"/>
      <c r="G9" s="420"/>
      <c r="H9" s="420"/>
      <c r="I9" s="420"/>
      <c r="J9" s="420"/>
      <c r="K9" s="420"/>
      <c r="L9" s="420"/>
      <c r="M9" s="420"/>
      <c r="N9" s="420"/>
      <c r="O9" s="420"/>
      <c r="P9" s="420"/>
      <c r="Q9" s="420"/>
      <c r="R9" s="420"/>
      <c r="S9" s="421"/>
    </row>
    <row r="10" spans="2:19">
      <c r="B10" s="419"/>
      <c r="C10" s="420"/>
      <c r="D10" s="420"/>
      <c r="E10" s="420"/>
      <c r="F10" s="420"/>
      <c r="G10" s="420"/>
      <c r="H10" s="420"/>
      <c r="I10" s="420"/>
      <c r="J10" s="420"/>
      <c r="K10" s="420"/>
      <c r="L10" s="420"/>
      <c r="M10" s="420"/>
      <c r="N10" s="420"/>
      <c r="O10" s="420"/>
      <c r="P10" s="420"/>
      <c r="Q10" s="420"/>
      <c r="R10" s="420"/>
      <c r="S10" s="421"/>
    </row>
    <row r="11" spans="2:19">
      <c r="B11" s="419"/>
      <c r="C11" s="420"/>
      <c r="D11" s="420"/>
      <c r="E11" s="420"/>
      <c r="F11" s="420"/>
      <c r="G11" s="420"/>
      <c r="H11" s="420"/>
      <c r="I11" s="420"/>
      <c r="J11" s="420"/>
      <c r="K11" s="420"/>
      <c r="L11" s="420"/>
      <c r="M11" s="420"/>
      <c r="N11" s="420"/>
      <c r="O11" s="420"/>
      <c r="P11" s="420"/>
      <c r="Q11" s="420"/>
      <c r="R11" s="420"/>
      <c r="S11" s="421"/>
    </row>
    <row r="12" spans="2:19">
      <c r="B12" s="419"/>
      <c r="C12" s="420"/>
      <c r="D12" s="420"/>
      <c r="E12" s="420"/>
      <c r="F12" s="420"/>
      <c r="G12" s="420"/>
      <c r="H12" s="420"/>
      <c r="I12" s="420"/>
      <c r="J12" s="420"/>
      <c r="K12" s="420"/>
      <c r="L12" s="420"/>
      <c r="M12" s="420"/>
      <c r="N12" s="420"/>
      <c r="O12" s="420"/>
      <c r="P12" s="420"/>
      <c r="Q12" s="420"/>
      <c r="R12" s="420"/>
      <c r="S12" s="421"/>
    </row>
    <row r="13" spans="2:19">
      <c r="B13" s="419"/>
      <c r="C13" s="420"/>
      <c r="D13" s="420"/>
      <c r="E13" s="420"/>
      <c r="F13" s="420"/>
      <c r="G13" s="420"/>
      <c r="H13" s="420"/>
      <c r="I13" s="420"/>
      <c r="J13" s="420"/>
      <c r="K13" s="420"/>
      <c r="L13" s="420"/>
      <c r="M13" s="420"/>
      <c r="N13" s="420"/>
      <c r="O13" s="420"/>
      <c r="P13" s="420"/>
      <c r="Q13" s="420"/>
      <c r="R13" s="420"/>
      <c r="S13" s="421"/>
    </row>
    <row r="14" spans="2:19">
      <c r="B14" s="419"/>
      <c r="C14" s="420"/>
      <c r="D14" s="420"/>
      <c r="E14" s="420"/>
      <c r="F14" s="420"/>
      <c r="G14" s="420"/>
      <c r="H14" s="420"/>
      <c r="I14" s="420"/>
      <c r="J14" s="420"/>
      <c r="K14" s="420"/>
      <c r="L14" s="420"/>
      <c r="M14" s="420"/>
      <c r="N14" s="420"/>
      <c r="O14" s="420"/>
      <c r="P14" s="420"/>
      <c r="Q14" s="420"/>
      <c r="R14" s="420"/>
      <c r="S14" s="421"/>
    </row>
    <row r="15" spans="2:19">
      <c r="B15" s="419"/>
      <c r="C15" s="420"/>
      <c r="D15" s="420"/>
      <c r="E15" s="420"/>
      <c r="F15" s="420"/>
      <c r="G15" s="420"/>
      <c r="H15" s="420"/>
      <c r="I15" s="420"/>
      <c r="J15" s="420"/>
      <c r="K15" s="420"/>
      <c r="L15" s="420"/>
      <c r="M15" s="420"/>
      <c r="N15" s="420"/>
      <c r="O15" s="420"/>
      <c r="P15" s="420"/>
      <c r="Q15" s="420"/>
      <c r="R15" s="420"/>
      <c r="S15" s="421"/>
    </row>
    <row r="16" spans="2:19">
      <c r="B16" s="419"/>
      <c r="C16" s="420"/>
      <c r="D16" s="420"/>
      <c r="E16" s="420"/>
      <c r="F16" s="420"/>
      <c r="G16" s="420"/>
      <c r="H16" s="420"/>
      <c r="I16" s="420"/>
      <c r="J16" s="420"/>
      <c r="K16" s="420"/>
      <c r="L16" s="420"/>
      <c r="M16" s="420"/>
      <c r="N16" s="420"/>
      <c r="O16" s="420"/>
      <c r="P16" s="420"/>
      <c r="Q16" s="420"/>
      <c r="R16" s="420"/>
      <c r="S16" s="421"/>
    </row>
    <row r="17" spans="2:19" ht="105" customHeight="1">
      <c r="B17" s="422"/>
      <c r="C17" s="423"/>
      <c r="D17" s="423"/>
      <c r="E17" s="423"/>
      <c r="F17" s="423"/>
      <c r="G17" s="423"/>
      <c r="H17" s="423"/>
      <c r="I17" s="423"/>
      <c r="J17" s="423"/>
      <c r="K17" s="423"/>
      <c r="L17" s="423"/>
      <c r="M17" s="423"/>
      <c r="N17" s="423"/>
      <c r="O17" s="423"/>
      <c r="P17" s="423"/>
      <c r="Q17" s="423"/>
      <c r="R17" s="423"/>
      <c r="S17" s="424"/>
    </row>
    <row r="18" spans="2:19" ht="16.5" customHeight="1">
      <c r="B18" s="425" t="s">
        <v>286</v>
      </c>
      <c r="C18" s="425"/>
      <c r="D18" s="425"/>
      <c r="E18" s="425"/>
      <c r="F18" s="425"/>
      <c r="G18" s="425"/>
      <c r="H18" s="425"/>
      <c r="I18" s="425"/>
      <c r="J18" s="425"/>
      <c r="K18" s="425"/>
      <c r="L18" s="425"/>
      <c r="M18" s="425"/>
      <c r="N18" s="425"/>
      <c r="O18" s="425"/>
      <c r="P18" s="425"/>
      <c r="Q18" s="425"/>
      <c r="R18" s="425"/>
      <c r="S18" s="425"/>
    </row>
    <row r="19" spans="2:19" ht="16.5" customHeight="1">
      <c r="B19" s="425"/>
      <c r="C19" s="425"/>
      <c r="D19" s="425"/>
      <c r="E19" s="425"/>
      <c r="F19" s="425"/>
      <c r="G19" s="425"/>
      <c r="H19" s="425"/>
      <c r="I19" s="425"/>
      <c r="J19" s="425"/>
      <c r="K19" s="425"/>
      <c r="L19" s="425"/>
      <c r="M19" s="425"/>
      <c r="N19" s="425"/>
      <c r="O19" s="425"/>
      <c r="P19" s="425"/>
      <c r="Q19" s="425"/>
      <c r="R19" s="425"/>
      <c r="S19" s="425"/>
    </row>
    <row r="20" spans="2:19" ht="15.5" customHeight="1">
      <c r="B20" s="425"/>
      <c r="C20" s="425"/>
      <c r="D20" s="425"/>
      <c r="E20" s="425"/>
      <c r="F20" s="425"/>
      <c r="G20" s="425"/>
      <c r="H20" s="425"/>
      <c r="I20" s="425"/>
      <c r="J20" s="425"/>
      <c r="K20" s="425"/>
      <c r="L20" s="425"/>
      <c r="M20" s="425"/>
      <c r="N20" s="425"/>
      <c r="O20" s="425"/>
      <c r="P20" s="425"/>
      <c r="Q20" s="425"/>
      <c r="R20" s="425"/>
      <c r="S20" s="425"/>
    </row>
    <row r="21" spans="2:19" ht="29" customHeight="1">
      <c r="B21" s="425"/>
      <c r="C21" s="425"/>
      <c r="D21" s="425"/>
      <c r="E21" s="425"/>
      <c r="F21" s="425"/>
      <c r="G21" s="425"/>
      <c r="H21" s="425"/>
      <c r="I21" s="425"/>
      <c r="J21" s="425"/>
      <c r="K21" s="425"/>
      <c r="L21" s="425"/>
      <c r="M21" s="425"/>
      <c r="N21" s="425"/>
      <c r="O21" s="425"/>
      <c r="P21" s="425"/>
      <c r="Q21" s="425"/>
      <c r="R21" s="425"/>
      <c r="S21" s="425"/>
    </row>
    <row r="22" spans="2:19" ht="2" customHeight="1">
      <c r="B22" s="425"/>
      <c r="C22" s="425"/>
      <c r="D22" s="425"/>
      <c r="E22" s="425"/>
      <c r="F22" s="425"/>
      <c r="G22" s="425"/>
      <c r="H22" s="425"/>
      <c r="I22" s="425"/>
      <c r="J22" s="425"/>
      <c r="K22" s="425"/>
      <c r="L22" s="425"/>
      <c r="M22" s="425"/>
      <c r="N22" s="425"/>
      <c r="O22" s="425"/>
      <c r="P22" s="425"/>
      <c r="Q22" s="425"/>
      <c r="R22" s="425"/>
      <c r="S22" s="425"/>
    </row>
    <row r="23" spans="2:19" ht="8.5" hidden="1" customHeight="1">
      <c r="B23" s="425"/>
      <c r="C23" s="425"/>
      <c r="D23" s="425"/>
      <c r="E23" s="425"/>
      <c r="F23" s="425"/>
      <c r="G23" s="425"/>
      <c r="H23" s="425"/>
      <c r="I23" s="425"/>
      <c r="J23" s="425"/>
      <c r="K23" s="425"/>
      <c r="L23" s="425"/>
      <c r="M23" s="425"/>
      <c r="N23" s="425"/>
      <c r="O23" s="425"/>
      <c r="P23" s="425"/>
      <c r="Q23" s="425"/>
      <c r="R23" s="425"/>
      <c r="S23" s="425"/>
    </row>
    <row r="24" spans="2:19" ht="17" hidden="1" customHeight="1">
      <c r="B24" s="425"/>
      <c r="C24" s="425"/>
      <c r="D24" s="425"/>
      <c r="E24" s="425"/>
      <c r="F24" s="425"/>
      <c r="G24" s="425"/>
      <c r="H24" s="425"/>
      <c r="I24" s="425"/>
      <c r="J24" s="425"/>
      <c r="K24" s="425"/>
      <c r="L24" s="425"/>
      <c r="M24" s="425"/>
      <c r="N24" s="425"/>
      <c r="O24" s="425"/>
      <c r="P24" s="425"/>
      <c r="Q24" s="425"/>
      <c r="R24" s="425"/>
      <c r="S24" s="425"/>
    </row>
    <row r="25" spans="2:19" ht="8.5" hidden="1" customHeight="1">
      <c r="B25" s="425"/>
      <c r="C25" s="425"/>
      <c r="D25" s="425"/>
      <c r="E25" s="425"/>
      <c r="F25" s="425"/>
      <c r="G25" s="425"/>
      <c r="H25" s="425"/>
      <c r="I25" s="425"/>
      <c r="J25" s="425"/>
      <c r="K25" s="425"/>
      <c r="L25" s="425"/>
      <c r="M25" s="425"/>
      <c r="N25" s="425"/>
      <c r="O25" s="425"/>
      <c r="P25" s="425"/>
      <c r="Q25" s="425"/>
      <c r="R25" s="425"/>
      <c r="S25" s="425"/>
    </row>
    <row r="26" spans="2:19">
      <c r="B26" s="413" t="s">
        <v>287</v>
      </c>
      <c r="C26" s="413"/>
      <c r="D26" s="413"/>
      <c r="E26" s="413"/>
      <c r="F26" s="413"/>
      <c r="G26" s="413"/>
      <c r="H26" s="413"/>
      <c r="I26" s="413"/>
      <c r="J26" s="413"/>
      <c r="K26" s="413"/>
      <c r="L26" s="413"/>
      <c r="M26" s="413"/>
      <c r="N26" s="413"/>
      <c r="O26" s="413"/>
      <c r="P26" s="413"/>
      <c r="Q26" s="413"/>
      <c r="R26" s="413"/>
      <c r="S26" s="413"/>
    </row>
  </sheetData>
  <mergeCells count="4">
    <mergeCell ref="B26:S26"/>
    <mergeCell ref="B1:S3"/>
    <mergeCell ref="B4:S17"/>
    <mergeCell ref="B18:S25"/>
  </mergeCells>
  <pageMargins left="0.7" right="0.7" top="0.75" bottom="0.75" header="0.3" footer="0.3"/>
  <pageSetup scale="81"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22</vt:i4>
      </vt:variant>
    </vt:vector>
  </HeadingPairs>
  <TitlesOfParts>
    <vt:vector size="29" baseType="lpstr">
      <vt:lpstr>F02 Application Form</vt:lpstr>
      <vt:lpstr>F11&amp;F12-Sur1-Plan&amp;Schedule</vt:lpstr>
      <vt:lpstr>F07Opening and Closing Meeting </vt:lpstr>
      <vt:lpstr>Surveillance I - Audit Report</vt:lpstr>
      <vt:lpstr>AUD-F-22-Report Review </vt:lpstr>
      <vt:lpstr>Corrective Action Report</vt:lpstr>
      <vt:lpstr>Letter of Continuation</vt:lpstr>
      <vt:lpstr>AA</vt:lpstr>
      <vt:lpstr>AD</vt:lpstr>
      <vt:lpstr>AN</vt:lpstr>
      <vt:lpstr>AUD</vt:lpstr>
      <vt:lpstr>AUDN</vt:lpstr>
      <vt:lpstr>CP</vt:lpstr>
      <vt:lpstr>DAT</vt:lpstr>
      <vt:lpstr>DD</vt:lpstr>
      <vt:lpstr>DET</vt:lpstr>
      <vt:lpstr>EM</vt:lpstr>
      <vt:lpstr>IAF</vt:lpstr>
      <vt:lpstr>IF</vt:lpstr>
      <vt:lpstr>LA</vt:lpstr>
      <vt:lpstr>LD</vt:lpstr>
      <vt:lpstr>LDD</vt:lpstr>
      <vt:lpstr>MD</vt:lpstr>
      <vt:lpstr>NM</vt:lpstr>
      <vt:lpstr>NUM</vt:lpstr>
      <vt:lpstr>PD</vt:lpstr>
      <vt:lpstr>RN</vt:lpstr>
      <vt:lpstr>SC</vt:lpstr>
      <vt:lpstr>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1</cp:lastModifiedBy>
  <cp:lastPrinted>2025-09-02T05:48:00Z</cp:lastPrinted>
  <dcterms:created xsi:type="dcterms:W3CDTF">2025-08-22T07:41:00Z</dcterms:created>
  <dcterms:modified xsi:type="dcterms:W3CDTF">2026-02-27T05:40:27Z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F8EC2BA289CD4E119DEB06B35FB09504_12</vt:lpwstr>
  </property>
  <property fmtid="{D5CDD505-2E9C-101B-9397-08002B2CF9AE}" pid="3" name="KSOProductBuildVer">
    <vt:lpwstr>1033-12.2.0.23196</vt:lpwstr>
  </property>
</Properties>
</file>